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dinka\Desktop\Data\Projekty\Runnng RacePlaner 2027\"/>
    </mc:Choice>
  </mc:AlternateContent>
  <bookViews>
    <workbookView xWindow="0" yWindow="0" windowWidth="19200" windowHeight="7300"/>
  </bookViews>
  <sheets>
    <sheet name="Preteky_2027" sheetId="1" r:id="rId1"/>
    <sheet name="Zoznamy" sheetId="2" r:id="rId2"/>
    <sheet name="Dashboard" sheetId="3" r:id="rId3"/>
  </sheets>
  <calcPr calcId="152511"/>
</workbook>
</file>

<file path=xl/calcChain.xml><?xml version="1.0" encoding="utf-8"?>
<calcChain xmlns="http://schemas.openxmlformats.org/spreadsheetml/2006/main">
  <c r="K200" i="3" l="1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F40" i="3"/>
  <c r="E40" i="3"/>
  <c r="D40" i="3"/>
  <c r="C40" i="3"/>
  <c r="B40" i="3"/>
  <c r="A40" i="3"/>
  <c r="K39" i="3"/>
  <c r="F39" i="3"/>
  <c r="E39" i="3"/>
  <c r="D39" i="3"/>
  <c r="C39" i="3"/>
  <c r="B39" i="3"/>
  <c r="A39" i="3"/>
  <c r="K38" i="3"/>
  <c r="F38" i="3"/>
  <c r="E38" i="3"/>
  <c r="D38" i="3"/>
  <c r="C38" i="3"/>
  <c r="B38" i="3"/>
  <c r="A38" i="3"/>
  <c r="K37" i="3"/>
  <c r="F37" i="3"/>
  <c r="E37" i="3"/>
  <c r="D37" i="3"/>
  <c r="C37" i="3"/>
  <c r="B37" i="3"/>
  <c r="A37" i="3"/>
  <c r="K36" i="3"/>
  <c r="F36" i="3"/>
  <c r="E36" i="3"/>
  <c r="D36" i="3"/>
  <c r="C36" i="3"/>
  <c r="B36" i="3"/>
  <c r="A36" i="3"/>
  <c r="K35" i="3"/>
  <c r="F35" i="3"/>
  <c r="E35" i="3"/>
  <c r="D35" i="3"/>
  <c r="C35" i="3"/>
  <c r="B35" i="3"/>
  <c r="A35" i="3"/>
  <c r="K34" i="3"/>
  <c r="F34" i="3"/>
  <c r="E34" i="3"/>
  <c r="D34" i="3"/>
  <c r="C34" i="3"/>
  <c r="B34" i="3"/>
  <c r="A34" i="3"/>
  <c r="K33" i="3"/>
  <c r="F33" i="3"/>
  <c r="E33" i="3"/>
  <c r="D33" i="3"/>
  <c r="C33" i="3"/>
  <c r="B33" i="3"/>
  <c r="A33" i="3"/>
  <c r="K32" i="3"/>
  <c r="F32" i="3"/>
  <c r="E32" i="3"/>
  <c r="D32" i="3"/>
  <c r="C32" i="3"/>
  <c r="B32" i="3"/>
  <c r="A32" i="3"/>
  <c r="K31" i="3"/>
  <c r="F31" i="3"/>
  <c r="E31" i="3"/>
  <c r="D31" i="3"/>
  <c r="C31" i="3"/>
  <c r="B31" i="3"/>
  <c r="A31" i="3"/>
  <c r="K30" i="3"/>
  <c r="F30" i="3"/>
  <c r="E30" i="3"/>
  <c r="D30" i="3"/>
  <c r="C30" i="3"/>
  <c r="B30" i="3"/>
  <c r="A30" i="3"/>
  <c r="K29" i="3"/>
  <c r="F29" i="3"/>
  <c r="E29" i="3"/>
  <c r="D29" i="3"/>
  <c r="C29" i="3"/>
  <c r="B29" i="3"/>
  <c r="A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G9" i="3"/>
  <c r="E9" i="3"/>
  <c r="C9" i="3"/>
  <c r="A9" i="3"/>
  <c r="K8" i="3"/>
  <c r="K7" i="3"/>
  <c r="K6" i="3"/>
  <c r="K5" i="3"/>
  <c r="K4" i="3"/>
  <c r="K3" i="3"/>
  <c r="K2" i="3"/>
  <c r="S200" i="1"/>
  <c r="Q200" i="1"/>
  <c r="T200" i="1" s="1"/>
  <c r="F200" i="1"/>
  <c r="D200" i="1"/>
  <c r="C200" i="1"/>
  <c r="S199" i="1"/>
  <c r="Q199" i="1"/>
  <c r="T199" i="1" s="1"/>
  <c r="F199" i="1"/>
  <c r="D199" i="1"/>
  <c r="C199" i="1"/>
  <c r="S198" i="1"/>
  <c r="Q198" i="1"/>
  <c r="T198" i="1" s="1"/>
  <c r="F198" i="1"/>
  <c r="D198" i="1"/>
  <c r="C198" i="1"/>
  <c r="S197" i="1"/>
  <c r="Q197" i="1"/>
  <c r="T197" i="1" s="1"/>
  <c r="F197" i="1"/>
  <c r="D197" i="1"/>
  <c r="C197" i="1"/>
  <c r="T196" i="1"/>
  <c r="S196" i="1"/>
  <c r="Q196" i="1"/>
  <c r="F196" i="1"/>
  <c r="D196" i="1"/>
  <c r="C196" i="1"/>
  <c r="S195" i="1"/>
  <c r="Q195" i="1"/>
  <c r="T195" i="1" s="1"/>
  <c r="F195" i="1"/>
  <c r="D195" i="1"/>
  <c r="C195" i="1"/>
  <c r="T194" i="1"/>
  <c r="S194" i="1"/>
  <c r="Q194" i="1"/>
  <c r="F194" i="1"/>
  <c r="D194" i="1"/>
  <c r="C194" i="1"/>
  <c r="S193" i="1"/>
  <c r="Q193" i="1"/>
  <c r="T193" i="1" s="1"/>
  <c r="F193" i="1"/>
  <c r="D193" i="1"/>
  <c r="C193" i="1"/>
  <c r="T192" i="1"/>
  <c r="S192" i="1"/>
  <c r="Q192" i="1"/>
  <c r="F192" i="1"/>
  <c r="D192" i="1"/>
  <c r="C192" i="1"/>
  <c r="S191" i="1"/>
  <c r="Q191" i="1"/>
  <c r="T191" i="1" s="1"/>
  <c r="F191" i="1"/>
  <c r="D191" i="1"/>
  <c r="C191" i="1"/>
  <c r="T190" i="1"/>
  <c r="S190" i="1"/>
  <c r="Q190" i="1"/>
  <c r="F190" i="1"/>
  <c r="D190" i="1"/>
  <c r="C190" i="1"/>
  <c r="S189" i="1"/>
  <c r="Q189" i="1"/>
  <c r="T189" i="1" s="1"/>
  <c r="F189" i="1"/>
  <c r="D189" i="1"/>
  <c r="C189" i="1"/>
  <c r="T188" i="1"/>
  <c r="S188" i="1"/>
  <c r="Q188" i="1"/>
  <c r="F188" i="1"/>
  <c r="D188" i="1"/>
  <c r="C188" i="1"/>
  <c r="S187" i="1"/>
  <c r="Q187" i="1"/>
  <c r="T187" i="1" s="1"/>
  <c r="F187" i="1"/>
  <c r="D187" i="1"/>
  <c r="C187" i="1"/>
  <c r="T186" i="1"/>
  <c r="S186" i="1"/>
  <c r="Q186" i="1"/>
  <c r="F186" i="1"/>
  <c r="D186" i="1"/>
  <c r="C186" i="1"/>
  <c r="S185" i="1"/>
  <c r="Q185" i="1"/>
  <c r="T185" i="1" s="1"/>
  <c r="F185" i="1"/>
  <c r="D185" i="1"/>
  <c r="C185" i="1"/>
  <c r="T184" i="1"/>
  <c r="S184" i="1"/>
  <c r="Q184" i="1"/>
  <c r="F184" i="1"/>
  <c r="D184" i="1"/>
  <c r="C184" i="1"/>
  <c r="S183" i="1"/>
  <c r="Q183" i="1"/>
  <c r="T183" i="1" s="1"/>
  <c r="F183" i="1"/>
  <c r="D183" i="1"/>
  <c r="C183" i="1"/>
  <c r="T182" i="1"/>
  <c r="S182" i="1"/>
  <c r="Q182" i="1"/>
  <c r="F182" i="1"/>
  <c r="D182" i="1"/>
  <c r="C182" i="1"/>
  <c r="S181" i="1"/>
  <c r="Q181" i="1"/>
  <c r="T181" i="1" s="1"/>
  <c r="F181" i="1"/>
  <c r="D181" i="1"/>
  <c r="C181" i="1"/>
  <c r="T180" i="1"/>
  <c r="S180" i="1"/>
  <c r="Q180" i="1"/>
  <c r="F180" i="1"/>
  <c r="D180" i="1"/>
  <c r="C180" i="1"/>
  <c r="S179" i="1"/>
  <c r="Q179" i="1"/>
  <c r="T179" i="1" s="1"/>
  <c r="F179" i="1"/>
  <c r="D179" i="1"/>
  <c r="C179" i="1"/>
  <c r="T178" i="1"/>
  <c r="S178" i="1"/>
  <c r="Q178" i="1"/>
  <c r="F178" i="1"/>
  <c r="D178" i="1"/>
  <c r="C178" i="1"/>
  <c r="S177" i="1"/>
  <c r="Q177" i="1"/>
  <c r="T177" i="1" s="1"/>
  <c r="F177" i="1"/>
  <c r="D177" i="1"/>
  <c r="C177" i="1"/>
  <c r="T176" i="1"/>
  <c r="S176" i="1"/>
  <c r="Q176" i="1"/>
  <c r="F176" i="1"/>
  <c r="D176" i="1"/>
  <c r="C176" i="1"/>
  <c r="S175" i="1"/>
  <c r="Q175" i="1"/>
  <c r="T175" i="1" s="1"/>
  <c r="F175" i="1"/>
  <c r="D175" i="1"/>
  <c r="C175" i="1"/>
  <c r="T174" i="1"/>
  <c r="S174" i="1"/>
  <c r="Q174" i="1"/>
  <c r="F174" i="1"/>
  <c r="D174" i="1"/>
  <c r="C174" i="1"/>
  <c r="S173" i="1"/>
  <c r="Q173" i="1"/>
  <c r="T173" i="1" s="1"/>
  <c r="F173" i="1"/>
  <c r="D173" i="1"/>
  <c r="C173" i="1"/>
  <c r="T172" i="1"/>
  <c r="S172" i="1"/>
  <c r="Q172" i="1"/>
  <c r="F172" i="1"/>
  <c r="D172" i="1"/>
  <c r="C172" i="1"/>
  <c r="S171" i="1"/>
  <c r="Q171" i="1"/>
  <c r="T171" i="1" s="1"/>
  <c r="F171" i="1"/>
  <c r="D171" i="1"/>
  <c r="C171" i="1"/>
  <c r="T170" i="1"/>
  <c r="S170" i="1"/>
  <c r="Q170" i="1"/>
  <c r="F170" i="1"/>
  <c r="D170" i="1"/>
  <c r="C170" i="1"/>
  <c r="S169" i="1"/>
  <c r="Q169" i="1"/>
  <c r="T169" i="1" s="1"/>
  <c r="F169" i="1"/>
  <c r="D169" i="1"/>
  <c r="C169" i="1"/>
  <c r="T168" i="1"/>
  <c r="S168" i="1"/>
  <c r="Q168" i="1"/>
  <c r="F168" i="1"/>
  <c r="D168" i="1"/>
  <c r="C168" i="1"/>
  <c r="S167" i="1"/>
  <c r="Q167" i="1"/>
  <c r="T167" i="1" s="1"/>
  <c r="F167" i="1"/>
  <c r="D167" i="1"/>
  <c r="C167" i="1"/>
  <c r="T166" i="1"/>
  <c r="S166" i="1"/>
  <c r="Q166" i="1"/>
  <c r="F166" i="1"/>
  <c r="D166" i="1"/>
  <c r="C166" i="1"/>
  <c r="S165" i="1"/>
  <c r="Q165" i="1"/>
  <c r="T165" i="1" s="1"/>
  <c r="F165" i="1"/>
  <c r="D165" i="1"/>
  <c r="C165" i="1"/>
  <c r="T164" i="1"/>
  <c r="S164" i="1"/>
  <c r="Q164" i="1"/>
  <c r="F164" i="1"/>
  <c r="D164" i="1"/>
  <c r="C164" i="1"/>
  <c r="S163" i="1"/>
  <c r="Q163" i="1"/>
  <c r="T163" i="1" s="1"/>
  <c r="F163" i="1"/>
  <c r="D163" i="1"/>
  <c r="C163" i="1"/>
  <c r="T162" i="1"/>
  <c r="S162" i="1"/>
  <c r="Q162" i="1"/>
  <c r="F162" i="1"/>
  <c r="D162" i="1"/>
  <c r="C162" i="1"/>
  <c r="S161" i="1"/>
  <c r="Q161" i="1"/>
  <c r="T161" i="1" s="1"/>
  <c r="F161" i="1"/>
  <c r="D161" i="1"/>
  <c r="C161" i="1"/>
  <c r="T160" i="1"/>
  <c r="S160" i="1"/>
  <c r="Q160" i="1"/>
  <c r="F160" i="1"/>
  <c r="D160" i="1"/>
  <c r="C160" i="1"/>
  <c r="S159" i="1"/>
  <c r="Q159" i="1"/>
  <c r="T159" i="1" s="1"/>
  <c r="F159" i="1"/>
  <c r="D159" i="1"/>
  <c r="C159" i="1"/>
  <c r="T158" i="1"/>
  <c r="S158" i="1"/>
  <c r="Q158" i="1"/>
  <c r="F158" i="1"/>
  <c r="D158" i="1"/>
  <c r="C158" i="1"/>
  <c r="S157" i="1"/>
  <c r="Q157" i="1"/>
  <c r="T157" i="1" s="1"/>
  <c r="F157" i="1"/>
  <c r="D157" i="1"/>
  <c r="C157" i="1"/>
  <c r="T156" i="1"/>
  <c r="S156" i="1"/>
  <c r="Q156" i="1"/>
  <c r="F156" i="1"/>
  <c r="D156" i="1"/>
  <c r="C156" i="1"/>
  <c r="S155" i="1"/>
  <c r="Q155" i="1"/>
  <c r="T155" i="1" s="1"/>
  <c r="F155" i="1"/>
  <c r="D155" i="1"/>
  <c r="C155" i="1"/>
  <c r="T154" i="1"/>
  <c r="S154" i="1"/>
  <c r="Q154" i="1"/>
  <c r="F154" i="1"/>
  <c r="D154" i="1"/>
  <c r="C154" i="1"/>
  <c r="S153" i="1"/>
  <c r="Q153" i="1"/>
  <c r="T153" i="1" s="1"/>
  <c r="F153" i="1"/>
  <c r="D153" i="1"/>
  <c r="C153" i="1"/>
  <c r="T152" i="1"/>
  <c r="S152" i="1"/>
  <c r="Q152" i="1"/>
  <c r="F152" i="1"/>
  <c r="D152" i="1"/>
  <c r="C152" i="1"/>
  <c r="S151" i="1"/>
  <c r="Q151" i="1"/>
  <c r="T151" i="1" s="1"/>
  <c r="F151" i="1"/>
  <c r="D151" i="1"/>
  <c r="C151" i="1"/>
  <c r="T150" i="1"/>
  <c r="S150" i="1"/>
  <c r="Q150" i="1"/>
  <c r="F150" i="1"/>
  <c r="D150" i="1"/>
  <c r="C150" i="1"/>
  <c r="S149" i="1"/>
  <c r="Q149" i="1"/>
  <c r="T149" i="1" s="1"/>
  <c r="F149" i="1"/>
  <c r="D149" i="1"/>
  <c r="C149" i="1"/>
  <c r="T148" i="1"/>
  <c r="S148" i="1"/>
  <c r="Q148" i="1"/>
  <c r="F148" i="1"/>
  <c r="D148" i="1"/>
  <c r="C148" i="1"/>
  <c r="S147" i="1"/>
  <c r="Q147" i="1"/>
  <c r="T147" i="1" s="1"/>
  <c r="F147" i="1"/>
  <c r="D147" i="1"/>
  <c r="C147" i="1"/>
  <c r="T146" i="1"/>
  <c r="S146" i="1"/>
  <c r="Q146" i="1"/>
  <c r="F146" i="1"/>
  <c r="D146" i="1"/>
  <c r="C146" i="1"/>
  <c r="S145" i="1"/>
  <c r="Q145" i="1"/>
  <c r="T145" i="1" s="1"/>
  <c r="F145" i="1"/>
  <c r="D145" i="1"/>
  <c r="C145" i="1"/>
  <c r="T144" i="1"/>
  <c r="S144" i="1"/>
  <c r="Q144" i="1"/>
  <c r="F144" i="1"/>
  <c r="D144" i="1"/>
  <c r="C144" i="1"/>
  <c r="S143" i="1"/>
  <c r="Q143" i="1"/>
  <c r="T143" i="1" s="1"/>
  <c r="F143" i="1"/>
  <c r="D143" i="1"/>
  <c r="C143" i="1"/>
  <c r="T142" i="1"/>
  <c r="S142" i="1"/>
  <c r="Q142" i="1"/>
  <c r="F142" i="1"/>
  <c r="D142" i="1"/>
  <c r="C142" i="1"/>
  <c r="S141" i="1"/>
  <c r="Q141" i="1"/>
  <c r="T141" i="1" s="1"/>
  <c r="F141" i="1"/>
  <c r="D141" i="1"/>
  <c r="C141" i="1"/>
  <c r="T140" i="1"/>
  <c r="S140" i="1"/>
  <c r="Q140" i="1"/>
  <c r="F140" i="1"/>
  <c r="D140" i="1"/>
  <c r="C140" i="1"/>
  <c r="S139" i="1"/>
  <c r="Q139" i="1"/>
  <c r="T139" i="1" s="1"/>
  <c r="F139" i="1"/>
  <c r="D139" i="1"/>
  <c r="C139" i="1"/>
  <c r="T138" i="1"/>
  <c r="S138" i="1"/>
  <c r="Q138" i="1"/>
  <c r="F138" i="1"/>
  <c r="D138" i="1"/>
  <c r="C138" i="1"/>
  <c r="S137" i="1"/>
  <c r="Q137" i="1"/>
  <c r="T137" i="1" s="1"/>
  <c r="F137" i="1"/>
  <c r="D137" i="1"/>
  <c r="C137" i="1"/>
  <c r="T136" i="1"/>
  <c r="S136" i="1"/>
  <c r="Q136" i="1"/>
  <c r="F136" i="1"/>
  <c r="D136" i="1"/>
  <c r="C136" i="1"/>
  <c r="S135" i="1"/>
  <c r="Q135" i="1"/>
  <c r="T135" i="1" s="1"/>
  <c r="F135" i="1"/>
  <c r="D135" i="1"/>
  <c r="C135" i="1"/>
  <c r="T134" i="1"/>
  <c r="S134" i="1"/>
  <c r="Q134" i="1"/>
  <c r="F134" i="1"/>
  <c r="D134" i="1"/>
  <c r="C134" i="1"/>
  <c r="S133" i="1"/>
  <c r="Q133" i="1"/>
  <c r="T133" i="1" s="1"/>
  <c r="F133" i="1"/>
  <c r="D133" i="1"/>
  <c r="C133" i="1"/>
  <c r="T132" i="1"/>
  <c r="S132" i="1"/>
  <c r="Q132" i="1"/>
  <c r="F132" i="1"/>
  <c r="D132" i="1"/>
  <c r="C132" i="1"/>
  <c r="S131" i="1"/>
  <c r="Q131" i="1"/>
  <c r="T131" i="1" s="1"/>
  <c r="F131" i="1"/>
  <c r="D131" i="1"/>
  <c r="C131" i="1"/>
  <c r="T130" i="1"/>
  <c r="S130" i="1"/>
  <c r="Q130" i="1"/>
  <c r="F130" i="1"/>
  <c r="D130" i="1"/>
  <c r="C130" i="1"/>
  <c r="S129" i="1"/>
  <c r="Q129" i="1"/>
  <c r="T129" i="1" s="1"/>
  <c r="F129" i="1"/>
  <c r="D129" i="1"/>
  <c r="C129" i="1"/>
  <c r="T128" i="1"/>
  <c r="S128" i="1"/>
  <c r="Q128" i="1"/>
  <c r="F128" i="1"/>
  <c r="D128" i="1"/>
  <c r="C128" i="1"/>
  <c r="S127" i="1"/>
  <c r="Q127" i="1"/>
  <c r="T127" i="1" s="1"/>
  <c r="F127" i="1"/>
  <c r="D127" i="1"/>
  <c r="C127" i="1"/>
  <c r="T126" i="1"/>
  <c r="S126" i="1"/>
  <c r="Q126" i="1"/>
  <c r="F126" i="1"/>
  <c r="D126" i="1"/>
  <c r="C126" i="1"/>
  <c r="S125" i="1"/>
  <c r="Q125" i="1"/>
  <c r="T125" i="1" s="1"/>
  <c r="F125" i="1"/>
  <c r="D125" i="1"/>
  <c r="C125" i="1"/>
  <c r="T124" i="1"/>
  <c r="S124" i="1"/>
  <c r="Q124" i="1"/>
  <c r="F124" i="1"/>
  <c r="D124" i="1"/>
  <c r="C124" i="1"/>
  <c r="S123" i="1"/>
  <c r="Q123" i="1"/>
  <c r="T123" i="1" s="1"/>
  <c r="F123" i="1"/>
  <c r="D123" i="1"/>
  <c r="C123" i="1"/>
  <c r="T122" i="1"/>
  <c r="S122" i="1"/>
  <c r="Q122" i="1"/>
  <c r="F122" i="1"/>
  <c r="D122" i="1"/>
  <c r="C122" i="1"/>
  <c r="S121" i="1"/>
  <c r="Q121" i="1"/>
  <c r="T121" i="1" s="1"/>
  <c r="F121" i="1"/>
  <c r="D121" i="1"/>
  <c r="C121" i="1"/>
  <c r="T120" i="1"/>
  <c r="S120" i="1"/>
  <c r="Q120" i="1"/>
  <c r="F120" i="1"/>
  <c r="D120" i="1"/>
  <c r="C120" i="1"/>
  <c r="S119" i="1"/>
  <c r="Q119" i="1"/>
  <c r="T119" i="1" s="1"/>
  <c r="F119" i="1"/>
  <c r="D119" i="1"/>
  <c r="C119" i="1"/>
  <c r="T118" i="1"/>
  <c r="S118" i="1"/>
  <c r="Q118" i="1"/>
  <c r="F118" i="1"/>
  <c r="D118" i="1"/>
  <c r="C118" i="1"/>
  <c r="S117" i="1"/>
  <c r="Q117" i="1"/>
  <c r="T117" i="1" s="1"/>
  <c r="F117" i="1"/>
  <c r="D117" i="1"/>
  <c r="C117" i="1"/>
  <c r="T116" i="1"/>
  <c r="S116" i="1"/>
  <c r="Q116" i="1"/>
  <c r="F116" i="1"/>
  <c r="D116" i="1"/>
  <c r="C116" i="1"/>
  <c r="S115" i="1"/>
  <c r="Q115" i="1"/>
  <c r="T115" i="1" s="1"/>
  <c r="F115" i="1"/>
  <c r="D115" i="1"/>
  <c r="C115" i="1"/>
  <c r="T114" i="1"/>
  <c r="S114" i="1"/>
  <c r="Q114" i="1"/>
  <c r="F114" i="1"/>
  <c r="D114" i="1"/>
  <c r="C114" i="1"/>
  <c r="S113" i="1"/>
  <c r="Q113" i="1"/>
  <c r="T113" i="1" s="1"/>
  <c r="F113" i="1"/>
  <c r="D113" i="1"/>
  <c r="C113" i="1"/>
  <c r="T112" i="1"/>
  <c r="S112" i="1"/>
  <c r="Q112" i="1"/>
  <c r="F112" i="1"/>
  <c r="D112" i="1"/>
  <c r="C112" i="1"/>
  <c r="S111" i="1"/>
  <c r="Q111" i="1"/>
  <c r="T111" i="1" s="1"/>
  <c r="F111" i="1"/>
  <c r="D111" i="1"/>
  <c r="C111" i="1"/>
  <c r="T110" i="1"/>
  <c r="S110" i="1"/>
  <c r="Q110" i="1"/>
  <c r="F110" i="1"/>
  <c r="D110" i="1"/>
  <c r="C110" i="1"/>
  <c r="S109" i="1"/>
  <c r="Q109" i="1"/>
  <c r="T109" i="1" s="1"/>
  <c r="F109" i="1"/>
  <c r="D109" i="1"/>
  <c r="C109" i="1"/>
  <c r="T108" i="1"/>
  <c r="S108" i="1"/>
  <c r="Q108" i="1"/>
  <c r="F108" i="1"/>
  <c r="D108" i="1"/>
  <c r="C108" i="1"/>
  <c r="S107" i="1"/>
  <c r="Q107" i="1"/>
  <c r="T107" i="1" s="1"/>
  <c r="F107" i="1"/>
  <c r="D107" i="1"/>
  <c r="C107" i="1"/>
  <c r="T106" i="1"/>
  <c r="S106" i="1"/>
  <c r="Q106" i="1"/>
  <c r="F106" i="1"/>
  <c r="D106" i="1"/>
  <c r="C106" i="1"/>
  <c r="S105" i="1"/>
  <c r="Q105" i="1"/>
  <c r="T105" i="1" s="1"/>
  <c r="F105" i="1"/>
  <c r="D105" i="1"/>
  <c r="C105" i="1"/>
  <c r="T104" i="1"/>
  <c r="S104" i="1"/>
  <c r="Q104" i="1"/>
  <c r="F104" i="1"/>
  <c r="D104" i="1"/>
  <c r="C104" i="1"/>
  <c r="S103" i="1"/>
  <c r="Q103" i="1"/>
  <c r="T103" i="1" s="1"/>
  <c r="F103" i="1"/>
  <c r="D103" i="1"/>
  <c r="C103" i="1"/>
  <c r="T102" i="1"/>
  <c r="S102" i="1"/>
  <c r="Q102" i="1"/>
  <c r="F102" i="1"/>
  <c r="D102" i="1"/>
  <c r="C102" i="1"/>
  <c r="S101" i="1"/>
  <c r="Q101" i="1"/>
  <c r="T101" i="1" s="1"/>
  <c r="F101" i="1"/>
  <c r="D101" i="1"/>
  <c r="C101" i="1"/>
  <c r="T100" i="1"/>
  <c r="S100" i="1"/>
  <c r="Q100" i="1"/>
  <c r="F100" i="1"/>
  <c r="D100" i="1"/>
  <c r="C100" i="1"/>
  <c r="S99" i="1"/>
  <c r="Q99" i="1"/>
  <c r="T99" i="1" s="1"/>
  <c r="F99" i="1"/>
  <c r="D99" i="1"/>
  <c r="C99" i="1"/>
  <c r="T98" i="1"/>
  <c r="S98" i="1"/>
  <c r="Q98" i="1"/>
  <c r="F98" i="1"/>
  <c r="D98" i="1"/>
  <c r="C98" i="1"/>
  <c r="S97" i="1"/>
  <c r="Q97" i="1"/>
  <c r="T97" i="1" s="1"/>
  <c r="F97" i="1"/>
  <c r="D97" i="1"/>
  <c r="C97" i="1"/>
  <c r="T96" i="1"/>
  <c r="S96" i="1"/>
  <c r="Q96" i="1"/>
  <c r="F96" i="1"/>
  <c r="D96" i="1"/>
  <c r="C96" i="1"/>
  <c r="S95" i="1"/>
  <c r="Q95" i="1"/>
  <c r="T95" i="1" s="1"/>
  <c r="F95" i="1"/>
  <c r="D95" i="1"/>
  <c r="C95" i="1"/>
  <c r="T94" i="1"/>
  <c r="S94" i="1"/>
  <c r="Q94" i="1"/>
  <c r="F94" i="1"/>
  <c r="D94" i="1"/>
  <c r="C94" i="1"/>
  <c r="S93" i="1"/>
  <c r="Q93" i="1"/>
  <c r="T93" i="1" s="1"/>
  <c r="F93" i="1"/>
  <c r="D93" i="1"/>
  <c r="C93" i="1"/>
  <c r="T92" i="1"/>
  <c r="S92" i="1"/>
  <c r="Q92" i="1"/>
  <c r="F92" i="1"/>
  <c r="D92" i="1"/>
  <c r="C92" i="1"/>
  <c r="S91" i="1"/>
  <c r="Q91" i="1"/>
  <c r="T91" i="1" s="1"/>
  <c r="F91" i="1"/>
  <c r="D91" i="1"/>
  <c r="C91" i="1"/>
  <c r="T90" i="1"/>
  <c r="S90" i="1"/>
  <c r="Q90" i="1"/>
  <c r="F90" i="1"/>
  <c r="D90" i="1"/>
  <c r="C90" i="1"/>
  <c r="S89" i="1"/>
  <c r="Q89" i="1"/>
  <c r="T89" i="1" s="1"/>
  <c r="F89" i="1"/>
  <c r="D89" i="1"/>
  <c r="C89" i="1"/>
  <c r="T88" i="1"/>
  <c r="S88" i="1"/>
  <c r="Q88" i="1"/>
  <c r="F88" i="1"/>
  <c r="D88" i="1"/>
  <c r="C88" i="1"/>
  <c r="S87" i="1"/>
  <c r="Q87" i="1"/>
  <c r="T87" i="1" s="1"/>
  <c r="F87" i="1"/>
  <c r="D87" i="1"/>
  <c r="C87" i="1"/>
  <c r="T86" i="1"/>
  <c r="S86" i="1"/>
  <c r="Q86" i="1"/>
  <c r="F86" i="1"/>
  <c r="D86" i="1"/>
  <c r="C86" i="1"/>
  <c r="S85" i="1"/>
  <c r="Q85" i="1"/>
  <c r="T85" i="1" s="1"/>
  <c r="F85" i="1"/>
  <c r="D85" i="1"/>
  <c r="C85" i="1"/>
  <c r="T84" i="1"/>
  <c r="S84" i="1"/>
  <c r="Q84" i="1"/>
  <c r="F84" i="1"/>
  <c r="D84" i="1"/>
  <c r="C84" i="1"/>
  <c r="S83" i="1"/>
  <c r="Q83" i="1"/>
  <c r="T83" i="1" s="1"/>
  <c r="F83" i="1"/>
  <c r="D83" i="1"/>
  <c r="C83" i="1"/>
  <c r="T82" i="1"/>
  <c r="S82" i="1"/>
  <c r="Q82" i="1"/>
  <c r="F82" i="1"/>
  <c r="D82" i="1"/>
  <c r="C82" i="1"/>
  <c r="S81" i="1"/>
  <c r="Q81" i="1"/>
  <c r="T81" i="1" s="1"/>
  <c r="F81" i="1"/>
  <c r="D81" i="1"/>
  <c r="C81" i="1"/>
  <c r="T80" i="1"/>
  <c r="S80" i="1"/>
  <c r="Q80" i="1"/>
  <c r="F80" i="1"/>
  <c r="D80" i="1"/>
  <c r="C80" i="1"/>
  <c r="S79" i="1"/>
  <c r="Q79" i="1"/>
  <c r="T79" i="1" s="1"/>
  <c r="F79" i="1"/>
  <c r="D79" i="1"/>
  <c r="C79" i="1"/>
  <c r="T78" i="1"/>
  <c r="S78" i="1"/>
  <c r="Q78" i="1"/>
  <c r="F78" i="1"/>
  <c r="D78" i="1"/>
  <c r="C78" i="1"/>
  <c r="S77" i="1"/>
  <c r="Q77" i="1"/>
  <c r="T77" i="1" s="1"/>
  <c r="F77" i="1"/>
  <c r="D77" i="1"/>
  <c r="C77" i="1"/>
  <c r="T76" i="1"/>
  <c r="S76" i="1"/>
  <c r="Q76" i="1"/>
  <c r="F76" i="1"/>
  <c r="D76" i="1"/>
  <c r="C76" i="1"/>
  <c r="S75" i="1"/>
  <c r="Q75" i="1"/>
  <c r="T75" i="1" s="1"/>
  <c r="F75" i="1"/>
  <c r="D75" i="1"/>
  <c r="C75" i="1"/>
  <c r="T74" i="1"/>
  <c r="S74" i="1"/>
  <c r="Q74" i="1"/>
  <c r="F74" i="1"/>
  <c r="D74" i="1"/>
  <c r="C74" i="1"/>
  <c r="S73" i="1"/>
  <c r="Q73" i="1"/>
  <c r="T73" i="1" s="1"/>
  <c r="F73" i="1"/>
  <c r="D73" i="1"/>
  <c r="C73" i="1"/>
  <c r="T72" i="1"/>
  <c r="S72" i="1"/>
  <c r="Q72" i="1"/>
  <c r="F72" i="1"/>
  <c r="D72" i="1"/>
  <c r="C72" i="1"/>
  <c r="S71" i="1"/>
  <c r="Q71" i="1"/>
  <c r="T71" i="1" s="1"/>
  <c r="F71" i="1"/>
  <c r="D71" i="1"/>
  <c r="C71" i="1"/>
  <c r="T70" i="1"/>
  <c r="S70" i="1"/>
  <c r="Q70" i="1"/>
  <c r="F70" i="1"/>
  <c r="D70" i="1"/>
  <c r="C70" i="1"/>
  <c r="S69" i="1"/>
  <c r="Q69" i="1"/>
  <c r="T69" i="1" s="1"/>
  <c r="F69" i="1"/>
  <c r="D69" i="1"/>
  <c r="C69" i="1"/>
  <c r="T68" i="1"/>
  <c r="S68" i="1"/>
  <c r="Q68" i="1"/>
  <c r="F68" i="1"/>
  <c r="D68" i="1"/>
  <c r="C68" i="1"/>
  <c r="S67" i="1"/>
  <c r="Q67" i="1"/>
  <c r="T67" i="1" s="1"/>
  <c r="F67" i="1"/>
  <c r="D67" i="1"/>
  <c r="C67" i="1"/>
  <c r="T66" i="1"/>
  <c r="S66" i="1"/>
  <c r="Q66" i="1"/>
  <c r="F66" i="1"/>
  <c r="D66" i="1"/>
  <c r="C66" i="1"/>
  <c r="S65" i="1"/>
  <c r="Q65" i="1"/>
  <c r="T65" i="1" s="1"/>
  <c r="F65" i="1"/>
  <c r="D65" i="1"/>
  <c r="C65" i="1"/>
  <c r="T64" i="1"/>
  <c r="S64" i="1"/>
  <c r="Q64" i="1"/>
  <c r="F64" i="1"/>
  <c r="D64" i="1"/>
  <c r="C64" i="1"/>
  <c r="S63" i="1"/>
  <c r="Q63" i="1"/>
  <c r="T63" i="1" s="1"/>
  <c r="F63" i="1"/>
  <c r="D63" i="1"/>
  <c r="C63" i="1"/>
  <c r="T62" i="1"/>
  <c r="S62" i="1"/>
  <c r="Q62" i="1"/>
  <c r="F62" i="1"/>
  <c r="D62" i="1"/>
  <c r="C62" i="1"/>
  <c r="S61" i="1"/>
  <c r="Q61" i="1"/>
  <c r="T61" i="1" s="1"/>
  <c r="F61" i="1"/>
  <c r="D61" i="1"/>
  <c r="C61" i="1"/>
  <c r="T60" i="1"/>
  <c r="S60" i="1"/>
  <c r="Q60" i="1"/>
  <c r="F60" i="1"/>
  <c r="D60" i="1"/>
  <c r="C60" i="1"/>
  <c r="S59" i="1"/>
  <c r="Q59" i="1"/>
  <c r="T59" i="1" s="1"/>
  <c r="F59" i="1"/>
  <c r="D59" i="1"/>
  <c r="C59" i="1"/>
  <c r="T58" i="1"/>
  <c r="S58" i="1"/>
  <c r="Q58" i="1"/>
  <c r="F58" i="1"/>
  <c r="D58" i="1"/>
  <c r="C58" i="1"/>
  <c r="S57" i="1"/>
  <c r="Q57" i="1"/>
  <c r="T57" i="1" s="1"/>
  <c r="F57" i="1"/>
  <c r="D57" i="1"/>
  <c r="C57" i="1"/>
  <c r="T56" i="1"/>
  <c r="S56" i="1"/>
  <c r="Q56" i="1"/>
  <c r="F56" i="1"/>
  <c r="D56" i="1"/>
  <c r="C56" i="1"/>
  <c r="S55" i="1"/>
  <c r="Q55" i="1"/>
  <c r="T55" i="1" s="1"/>
  <c r="F55" i="1"/>
  <c r="D55" i="1"/>
  <c r="C55" i="1"/>
  <c r="T54" i="1"/>
  <c r="S54" i="1"/>
  <c r="Q54" i="1"/>
  <c r="F54" i="1"/>
  <c r="D54" i="1"/>
  <c r="C54" i="1"/>
  <c r="S53" i="1"/>
  <c r="Q53" i="1"/>
  <c r="T53" i="1" s="1"/>
  <c r="F53" i="1"/>
  <c r="D53" i="1"/>
  <c r="C53" i="1"/>
  <c r="T52" i="1"/>
  <c r="S52" i="1"/>
  <c r="Q52" i="1"/>
  <c r="F52" i="1"/>
  <c r="D52" i="1"/>
  <c r="C52" i="1"/>
  <c r="S51" i="1"/>
  <c r="Q51" i="1"/>
  <c r="T51" i="1" s="1"/>
  <c r="F51" i="1"/>
  <c r="D51" i="1"/>
  <c r="C51" i="1"/>
  <c r="T50" i="1"/>
  <c r="S50" i="1"/>
  <c r="Q50" i="1"/>
  <c r="F50" i="1"/>
  <c r="D50" i="1"/>
  <c r="C50" i="1"/>
  <c r="S49" i="1"/>
  <c r="Q49" i="1"/>
  <c r="T49" i="1" s="1"/>
  <c r="F49" i="1"/>
  <c r="D49" i="1"/>
  <c r="C49" i="1"/>
  <c r="T48" i="1"/>
  <c r="S48" i="1"/>
  <c r="Q48" i="1"/>
  <c r="F48" i="1"/>
  <c r="D48" i="1"/>
  <c r="C48" i="1"/>
  <c r="S47" i="1"/>
  <c r="Q47" i="1"/>
  <c r="T47" i="1" s="1"/>
  <c r="F47" i="1"/>
  <c r="D47" i="1"/>
  <c r="C47" i="1"/>
  <c r="T46" i="1"/>
  <c r="S46" i="1"/>
  <c r="Q46" i="1"/>
  <c r="F46" i="1"/>
  <c r="D46" i="1"/>
  <c r="C46" i="1"/>
  <c r="S45" i="1"/>
  <c r="Q45" i="1"/>
  <c r="T45" i="1" s="1"/>
  <c r="F45" i="1"/>
  <c r="D45" i="1"/>
  <c r="C45" i="1"/>
  <c r="T44" i="1"/>
  <c r="S44" i="1"/>
  <c r="Q44" i="1"/>
  <c r="F44" i="1"/>
  <c r="D44" i="1"/>
  <c r="C44" i="1"/>
  <c r="S43" i="1"/>
  <c r="Q43" i="1"/>
  <c r="T43" i="1" s="1"/>
  <c r="F43" i="1"/>
  <c r="D43" i="1"/>
  <c r="C43" i="1"/>
  <c r="T42" i="1"/>
  <c r="S42" i="1"/>
  <c r="Q42" i="1"/>
  <c r="F42" i="1"/>
  <c r="D42" i="1"/>
  <c r="C42" i="1"/>
  <c r="S41" i="1"/>
  <c r="Q41" i="1"/>
  <c r="T41" i="1" s="1"/>
  <c r="F41" i="1"/>
  <c r="D41" i="1"/>
  <c r="C41" i="1"/>
  <c r="T40" i="1"/>
  <c r="S40" i="1"/>
  <c r="Q40" i="1"/>
  <c r="F40" i="1"/>
  <c r="D40" i="1"/>
  <c r="C40" i="1"/>
  <c r="S39" i="1"/>
  <c r="Q39" i="1"/>
  <c r="T39" i="1" s="1"/>
  <c r="F39" i="1"/>
  <c r="D39" i="1"/>
  <c r="C39" i="1"/>
  <c r="T38" i="1"/>
  <c r="S38" i="1"/>
  <c r="Q38" i="1"/>
  <c r="F38" i="1"/>
  <c r="D38" i="1"/>
  <c r="C38" i="1"/>
  <c r="S37" i="1"/>
  <c r="Q37" i="1"/>
  <c r="T37" i="1" s="1"/>
  <c r="F37" i="1"/>
  <c r="D37" i="1"/>
  <c r="C37" i="1"/>
  <c r="T36" i="1"/>
  <c r="S36" i="1"/>
  <c r="Q36" i="1"/>
  <c r="F36" i="1"/>
  <c r="D36" i="1"/>
  <c r="C36" i="1"/>
  <c r="S35" i="1"/>
  <c r="Q35" i="1"/>
  <c r="T35" i="1" s="1"/>
  <c r="F35" i="1"/>
  <c r="D35" i="1"/>
  <c r="C35" i="1"/>
  <c r="T34" i="1"/>
  <c r="S34" i="1"/>
  <c r="Q34" i="1"/>
  <c r="F34" i="1"/>
  <c r="D34" i="1"/>
  <c r="C34" i="1"/>
  <c r="S33" i="1"/>
  <c r="Q33" i="1"/>
  <c r="T33" i="1" s="1"/>
  <c r="F33" i="1"/>
  <c r="D33" i="1"/>
  <c r="C33" i="1"/>
  <c r="T32" i="1"/>
  <c r="S32" i="1"/>
  <c r="Q32" i="1"/>
  <c r="F32" i="1"/>
  <c r="D32" i="1"/>
  <c r="C32" i="1"/>
  <c r="S31" i="1"/>
  <c r="Q31" i="1"/>
  <c r="T31" i="1" s="1"/>
  <c r="F31" i="1"/>
  <c r="D31" i="1"/>
  <c r="C31" i="1"/>
  <c r="T30" i="1"/>
  <c r="S30" i="1"/>
  <c r="Q30" i="1"/>
  <c r="F30" i="1"/>
  <c r="D30" i="1"/>
  <c r="C30" i="1"/>
  <c r="S29" i="1"/>
  <c r="Q29" i="1"/>
  <c r="T29" i="1" s="1"/>
  <c r="F29" i="1"/>
  <c r="D29" i="1"/>
  <c r="C29" i="1"/>
  <c r="T28" i="1"/>
  <c r="S28" i="1"/>
  <c r="Q28" i="1"/>
  <c r="F28" i="1"/>
  <c r="D28" i="1"/>
  <c r="C28" i="1"/>
  <c r="S27" i="1"/>
  <c r="Q27" i="1"/>
  <c r="T27" i="1" s="1"/>
  <c r="F27" i="1"/>
  <c r="D27" i="1"/>
  <c r="C27" i="1"/>
  <c r="T26" i="1"/>
  <c r="S26" i="1"/>
  <c r="Q26" i="1"/>
  <c r="F26" i="1"/>
  <c r="D26" i="1"/>
  <c r="C26" i="1"/>
  <c r="S25" i="1"/>
  <c r="Q25" i="1"/>
  <c r="T25" i="1" s="1"/>
  <c r="F25" i="1"/>
  <c r="D25" i="1"/>
  <c r="C25" i="1"/>
  <c r="T24" i="1"/>
  <c r="S24" i="1"/>
  <c r="Q24" i="1"/>
  <c r="F24" i="1"/>
  <c r="D24" i="1"/>
  <c r="C24" i="1"/>
  <c r="S23" i="1"/>
  <c r="Q23" i="1"/>
  <c r="T23" i="1" s="1"/>
  <c r="F23" i="1"/>
  <c r="D23" i="1"/>
  <c r="C23" i="1"/>
  <c r="T22" i="1"/>
  <c r="S22" i="1"/>
  <c r="Q22" i="1"/>
  <c r="F22" i="1"/>
  <c r="D22" i="1"/>
  <c r="C22" i="1"/>
  <c r="S21" i="1"/>
  <c r="Q21" i="1"/>
  <c r="T21" i="1" s="1"/>
  <c r="F21" i="1"/>
  <c r="D21" i="1"/>
  <c r="C21" i="1"/>
  <c r="T20" i="1"/>
  <c r="S20" i="1"/>
  <c r="Q20" i="1"/>
  <c r="F20" i="1"/>
  <c r="D20" i="1"/>
  <c r="C20" i="1"/>
  <c r="S19" i="1"/>
  <c r="Q19" i="1"/>
  <c r="T19" i="1" s="1"/>
  <c r="F19" i="1"/>
  <c r="D19" i="1"/>
  <c r="C19" i="1"/>
  <c r="T18" i="1"/>
  <c r="S18" i="1"/>
  <c r="Q18" i="1"/>
  <c r="F18" i="1"/>
  <c r="D18" i="1"/>
  <c r="C18" i="1"/>
  <c r="S17" i="1"/>
  <c r="Q17" i="1"/>
  <c r="T17" i="1" s="1"/>
  <c r="F17" i="1"/>
  <c r="D17" i="1"/>
  <c r="C17" i="1"/>
  <c r="T16" i="1"/>
  <c r="S16" i="1"/>
  <c r="Q16" i="1"/>
  <c r="F16" i="1"/>
  <c r="D16" i="1"/>
  <c r="C16" i="1"/>
  <c r="S15" i="1"/>
  <c r="Q15" i="1"/>
  <c r="T15" i="1" s="1"/>
  <c r="F15" i="1"/>
  <c r="D15" i="1"/>
  <c r="C15" i="1"/>
  <c r="T14" i="1"/>
  <c r="S14" i="1"/>
  <c r="Q14" i="1"/>
  <c r="F14" i="1"/>
  <c r="D14" i="1"/>
  <c r="C14" i="1"/>
  <c r="S13" i="1"/>
  <c r="Q13" i="1"/>
  <c r="G40" i="3" s="1"/>
  <c r="F13" i="1"/>
  <c r="D13" i="1"/>
  <c r="C13" i="1"/>
  <c r="T12" i="1"/>
  <c r="H39" i="3" s="1"/>
  <c r="S12" i="1"/>
  <c r="Q12" i="1"/>
  <c r="G39" i="3" s="1"/>
  <c r="F12" i="1"/>
  <c r="D12" i="1"/>
  <c r="C12" i="1"/>
  <c r="S11" i="1"/>
  <c r="Q11" i="1"/>
  <c r="G38" i="3" s="1"/>
  <c r="F11" i="1"/>
  <c r="D11" i="1"/>
  <c r="C11" i="1"/>
  <c r="T10" i="1"/>
  <c r="H37" i="3" s="1"/>
  <c r="S10" i="1"/>
  <c r="Q10" i="1"/>
  <c r="G37" i="3" s="1"/>
  <c r="F10" i="1"/>
  <c r="D10" i="1"/>
  <c r="C10" i="1"/>
  <c r="S9" i="1"/>
  <c r="Q9" i="1"/>
  <c r="T9" i="1" s="1"/>
  <c r="H36" i="3" s="1"/>
  <c r="F9" i="1"/>
  <c r="D9" i="1"/>
  <c r="C9" i="1"/>
  <c r="T8" i="1"/>
  <c r="H35" i="3" s="1"/>
  <c r="S8" i="1"/>
  <c r="Q8" i="1"/>
  <c r="G35" i="3" s="1"/>
  <c r="F8" i="1"/>
  <c r="D8" i="1"/>
  <c r="C8" i="1"/>
  <c r="S7" i="1"/>
  <c r="Q7" i="1"/>
  <c r="G34" i="3" s="1"/>
  <c r="F7" i="1"/>
  <c r="D7" i="1"/>
  <c r="C7" i="1"/>
  <c r="T6" i="1"/>
  <c r="H33" i="3" s="1"/>
  <c r="S6" i="1"/>
  <c r="Q6" i="1"/>
  <c r="G33" i="3" s="1"/>
  <c r="F6" i="1"/>
  <c r="D6" i="1"/>
  <c r="C6" i="1"/>
  <c r="S5" i="1"/>
  <c r="Q5" i="1"/>
  <c r="G32" i="3" s="1"/>
  <c r="F5" i="1"/>
  <c r="D5" i="1"/>
  <c r="C5" i="1"/>
  <c r="T4" i="1"/>
  <c r="H31" i="3" s="1"/>
  <c r="S4" i="1"/>
  <c r="Q4" i="1"/>
  <c r="G31" i="3" s="1"/>
  <c r="F4" i="1"/>
  <c r="D4" i="1"/>
  <c r="C4" i="1"/>
  <c r="S3" i="1"/>
  <c r="E23" i="3" s="1"/>
  <c r="Q3" i="1"/>
  <c r="G30" i="3" s="1"/>
  <c r="F3" i="1"/>
  <c r="D3" i="1"/>
  <c r="C3" i="1"/>
  <c r="T2" i="1"/>
  <c r="H29" i="3" s="1"/>
  <c r="S2" i="1"/>
  <c r="Q2" i="1"/>
  <c r="G29" i="3" s="1"/>
  <c r="F2" i="1"/>
  <c r="A18" i="3" s="1"/>
  <c r="D2" i="1"/>
  <c r="C2" i="1"/>
  <c r="J2" i="3" l="1"/>
  <c r="J3" i="3" s="1"/>
  <c r="A5" i="3" s="1"/>
  <c r="A15" i="3"/>
  <c r="E15" i="3"/>
  <c r="B18" i="3"/>
  <c r="A23" i="3"/>
  <c r="T5" i="1"/>
  <c r="H32" i="3" s="1"/>
  <c r="T11" i="1"/>
  <c r="H38" i="3" s="1"/>
  <c r="T13" i="1"/>
  <c r="H40" i="3" s="1"/>
  <c r="G36" i="3"/>
  <c r="T3" i="1"/>
  <c r="H30" i="3" s="1"/>
  <c r="T7" i="1"/>
  <c r="H34" i="3" s="1"/>
  <c r="B15" i="3"/>
  <c r="F15" i="3"/>
  <c r="C18" i="3"/>
  <c r="C15" i="3"/>
  <c r="G15" i="3"/>
  <c r="D18" i="3"/>
  <c r="D15" i="3"/>
  <c r="H15" i="3"/>
  <c r="J4" i="3" l="1"/>
  <c r="J5" i="3"/>
  <c r="E5" i="3" s="1"/>
  <c r="A6" i="3" l="1"/>
</calcChain>
</file>

<file path=xl/sharedStrings.xml><?xml version="1.0" encoding="utf-8"?>
<sst xmlns="http://schemas.openxmlformats.org/spreadsheetml/2006/main" count="101" uniqueCount="87">
  <si>
    <t>ID</t>
  </si>
  <si>
    <t>Dátum</t>
  </si>
  <si>
    <t>Miesto</t>
  </si>
  <si>
    <t>Typ</t>
  </si>
  <si>
    <t>Priorita</t>
  </si>
  <si>
    <t>Stav</t>
  </si>
  <si>
    <t>Registrácia</t>
  </si>
  <si>
    <t>Generali 1/2Maraton Praha 2027</t>
  </si>
  <si>
    <t>Praha</t>
  </si>
  <si>
    <t>Cesta</t>
  </si>
  <si>
    <t>A</t>
  </si>
  <si>
    <t>Plánujem</t>
  </si>
  <si>
    <t>Sub 02:00</t>
  </si>
  <si>
    <t>Nie</t>
  </si>
  <si>
    <t>prvý test sezóny</t>
  </si>
  <si>
    <t>G-Schock Runday Trávnica</t>
  </si>
  <si>
    <t>Trávnica</t>
  </si>
  <si>
    <t>Trail</t>
  </si>
  <si>
    <t>B</t>
  </si>
  <si>
    <t>pod 1:50</t>
  </si>
  <si>
    <t>kopcovitý profil</t>
  </si>
  <si>
    <t>Košice Peace Marathon</t>
  </si>
  <si>
    <t>Košice</t>
  </si>
  <si>
    <t>Sub 04:00</t>
  </si>
  <si>
    <t>Zvažujem</t>
  </si>
  <si>
    <t>Otvorená</t>
  </si>
  <si>
    <t>Kros</t>
  </si>
  <si>
    <t>C</t>
  </si>
  <si>
    <t>Registrovaný</t>
  </si>
  <si>
    <t>Hotová</t>
  </si>
  <si>
    <t>Dráha</t>
  </si>
  <si>
    <t>Absolvovaný</t>
  </si>
  <si>
    <t>Iné</t>
  </si>
  <si>
    <t>Zrušený</t>
  </si>
  <si>
    <t>BEŽECKÉ PRETEKY 2027</t>
  </si>
  <si>
    <t>Najbližší pretek</t>
  </si>
  <si>
    <t>Zostávajúci čas</t>
  </si>
  <si>
    <t>Počet pretekov</t>
  </si>
  <si>
    <t>A-preteky</t>
  </si>
  <si>
    <t>Celková vzdialenosť</t>
  </si>
  <si>
    <t>Registrované</t>
  </si>
  <si>
    <t>Mini kalendár sezóny</t>
  </si>
  <si>
    <t>Jan</t>
  </si>
  <si>
    <t>Feb</t>
  </si>
  <si>
    <t>Mar</t>
  </si>
  <si>
    <t>Apr</t>
  </si>
  <si>
    <t>Máj</t>
  </si>
  <si>
    <t>Jún</t>
  </si>
  <si>
    <t>Júl</t>
  </si>
  <si>
    <t>Aug</t>
  </si>
  <si>
    <t>Sep</t>
  </si>
  <si>
    <t>Okt</t>
  </si>
  <si>
    <t>Nov</t>
  </si>
  <si>
    <t>Dec</t>
  </si>
  <si>
    <t>Najbližší_dátumčas</t>
  </si>
  <si>
    <t>Kandidát</t>
  </si>
  <si>
    <t>Stav sezóny</t>
  </si>
  <si>
    <t>Plánované preteky</t>
  </si>
  <si>
    <t>Absolvované preteky</t>
  </si>
  <si>
    <t>Časová os pretekov a rozostupy</t>
  </si>
  <si>
    <t>Preteky</t>
  </si>
  <si>
    <t>km</t>
  </si>
  <si>
    <t>Odstup dní</t>
  </si>
  <si>
    <t>Odstup týždne</t>
  </si>
  <si>
    <t>Rozostup:</t>
  </si>
  <si>
    <t>≤14 dní = krátky</t>
  </si>
  <si>
    <t>15–28 dní = stredný</t>
  </si>
  <si>
    <t>&gt;28 dní = komfortný</t>
  </si>
  <si>
    <t>Date</t>
  </si>
  <si>
    <t>Year</t>
  </si>
  <si>
    <t>Month</t>
  </si>
  <si>
    <t>Start Time</t>
  </si>
  <si>
    <t>Month_Number</t>
  </si>
  <si>
    <t>Race</t>
  </si>
  <si>
    <t>Location</t>
  </si>
  <si>
    <t>Type</t>
  </si>
  <si>
    <t>Distance_km</t>
  </si>
  <si>
    <t>Priority</t>
  </si>
  <si>
    <t>Status</t>
  </si>
  <si>
    <t>Target</t>
  </si>
  <si>
    <t>Registration</t>
  </si>
  <si>
    <t>Final_Time</t>
  </si>
  <si>
    <t>Place</t>
  </si>
  <si>
    <t>Days_Gap</t>
  </si>
  <si>
    <t>Note</t>
  </si>
  <si>
    <t>Phase</t>
  </si>
  <si>
    <t>Week_Gap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</si>
</sst>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dd\.mm\.yyyy"/>
    <numFmt numFmtId="165" formatCode="hh:mm"/>
    <numFmt numFmtId="166" formatCode="0.0"/>
    <numFmt numFmtId="167" formatCode="dd\.mm\.yyyy\ hh:mm"/>
    <numFmt numFmtId="168" formatCode="0.0\ &quot;km&quot;"/>
    <numFmt numFmtId="169" formatCode="0.0\ &quot;t.&quot;"/>
  </numFmts>
  <fonts count="10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color rgb="FF17365D"/>
      <name val="Carlito"/>
    </font>
    <font>
      <b/>
      <sz val="20"/>
      <color rgb="FF17365D"/>
      <name val="Carlito"/>
    </font>
    <font>
      <b/>
      <sz val="18"/>
      <color rgb="FF17365D"/>
      <name val="Carlito"/>
    </font>
    <font>
      <b/>
      <sz val="11"/>
      <name val="Carlito"/>
    </font>
    <font>
      <sz val="11"/>
      <color rgb="FFFFFFFF"/>
      <name val="Carlito"/>
    </font>
    <font>
      <sz val="11"/>
      <name val="Carlito"/>
    </font>
    <font>
      <sz val="9"/>
      <color rgb="FF666666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8FAFC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31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166" fontId="0" fillId="0" borderId="0" xfId="1" applyNumberFormat="1" applyFont="1" applyAlignment="1">
      <alignment wrapText="1"/>
    </xf>
    <xf numFmtId="1" fontId="0" fillId="0" borderId="0" xfId="1" applyNumberFormat="1" applyFont="1" applyAlignment="1">
      <alignment wrapText="1"/>
    </xf>
    <xf numFmtId="0" fontId="6" fillId="7" borderId="0" xfId="1" applyFont="1" applyFill="1" applyAlignment="1">
      <alignment horizontal="center"/>
    </xf>
    <xf numFmtId="0" fontId="0" fillId="0" borderId="0" xfId="1" applyFont="1" applyAlignment="1">
      <alignment horizontal="center"/>
    </xf>
    <xf numFmtId="165" fontId="0" fillId="0" borderId="0" xfId="2" applyNumberFormat="1" applyFont="1" applyFill="1" applyBorder="1" applyAlignment="1">
      <alignment wrapText="1"/>
    </xf>
    <xf numFmtId="0" fontId="1" fillId="8" borderId="0" xfId="2" applyNumberFormat="1" applyFont="1" applyFill="1" applyBorder="1" applyAlignment="1">
      <alignment horizontal="center" vertical="center" wrapText="1"/>
    </xf>
    <xf numFmtId="166" fontId="0" fillId="0" borderId="0" xfId="2" applyNumberFormat="1" applyFont="1" applyFill="1" applyBorder="1"/>
    <xf numFmtId="0" fontId="3" fillId="9" borderId="0" xfId="2" applyNumberFormat="1" applyFont="1" applyFill="1" applyBorder="1" applyAlignment="1">
      <alignment horizontal="center" vertical="center" wrapText="1"/>
    </xf>
    <xf numFmtId="164" fontId="0" fillId="0" borderId="0" xfId="2" applyNumberFormat="1" applyFont="1" applyFill="1" applyBorder="1"/>
    <xf numFmtId="168" fontId="0" fillId="0" borderId="0" xfId="2" applyNumberFormat="1" applyFont="1" applyFill="1" applyBorder="1"/>
    <xf numFmtId="1" fontId="0" fillId="0" borderId="0" xfId="2" applyNumberFormat="1" applyFont="1" applyFill="1" applyBorder="1"/>
    <xf numFmtId="169" fontId="0" fillId="0" borderId="0" xfId="2" applyNumberFormat="1" applyFont="1" applyFill="1" applyBorder="1"/>
    <xf numFmtId="0" fontId="9" fillId="0" borderId="0" xfId="2" applyNumberFormat="1" applyFont="1" applyFill="1" applyBorder="1" applyAlignment="1">
      <alignment wrapText="1"/>
    </xf>
    <xf numFmtId="0" fontId="7" fillId="10" borderId="0" xfId="2" applyNumberFormat="1" applyFont="1" applyFill="1" applyBorder="1"/>
    <xf numFmtId="0" fontId="3" fillId="3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left"/>
    </xf>
    <xf numFmtId="168" fontId="5" fillId="6" borderId="0" xfId="1" applyNumberFormat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167" fontId="3" fillId="4" borderId="0" xfId="2" applyNumberFormat="1" applyFont="1" applyFill="1" applyBorder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1" fillId="8" borderId="0" xfId="2" applyNumberFormat="1" applyFont="1" applyFill="1" applyBorder="1" applyAlignment="1">
      <alignment horizontal="left" vertical="center"/>
    </xf>
    <xf numFmtId="0" fontId="3" fillId="9" borderId="0" xfId="2" applyNumberFormat="1" applyFont="1" applyFill="1" applyBorder="1" applyAlignment="1">
      <alignment horizontal="center" vertical="center"/>
    </xf>
    <xf numFmtId="0" fontId="4" fillId="10" borderId="0" xfId="2" applyNumberFormat="1" applyFont="1" applyFill="1" applyBorder="1" applyAlignment="1">
      <alignment horizontal="center" vertical="center"/>
    </xf>
    <xf numFmtId="0" fontId="3" fillId="11" borderId="0" xfId="2" applyNumberFormat="1" applyFont="1" applyFill="1" applyBorder="1" applyAlignment="1">
      <alignment horizontal="center" vertical="center"/>
    </xf>
    <xf numFmtId="0" fontId="1" fillId="8" borderId="0" xfId="2" applyNumberFormat="1" applyFont="1" applyFill="1" applyBorder="1" applyAlignment="1">
      <alignment horizontal="left"/>
    </xf>
  </cellXfs>
  <cellStyles count="3">
    <cellStyle name="Normal" xfId="1"/>
    <cellStyle name="Normálna" xfId="2"/>
    <cellStyle name="Normálne" xfId="0" builtinId="0"/>
  </cellStyles>
  <dxfs count="12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tabSelected="1" topLeftCell="L1" workbookViewId="0">
      <selection activeCell="T2" sqref="T2"/>
    </sheetView>
  </sheetViews>
  <sheetFormatPr defaultRowHeight="14"/>
  <cols>
    <col min="1" max="1" width="7" customWidth="1"/>
    <col min="2" max="2" width="12" customWidth="1"/>
    <col min="3" max="3" width="8" customWidth="1"/>
    <col min="4" max="4" width="13" customWidth="1"/>
    <col min="5" max="6" width="11" customWidth="1"/>
    <col min="7" max="7" width="27.5" customWidth="1"/>
    <col min="8" max="8" width="18" customWidth="1"/>
    <col min="9" max="9" width="12" customWidth="1"/>
    <col min="10" max="10" width="14" customWidth="1"/>
    <col min="11" max="11" width="10" customWidth="1"/>
    <col min="12" max="12" width="16" customWidth="1"/>
    <col min="13" max="13" width="18" customWidth="1"/>
    <col min="14" max="15" width="14" customWidth="1"/>
    <col min="16" max="17" width="12" customWidth="1"/>
    <col min="18" max="18" width="30" customWidth="1"/>
    <col min="19" max="20" width="14" customWidth="1"/>
  </cols>
  <sheetData>
    <row r="1" spans="1:20" ht="28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9" t="s">
        <v>85</v>
      </c>
      <c r="T1" s="9" t="s">
        <v>86</v>
      </c>
    </row>
    <row r="2" spans="1:20">
      <c r="A2" s="2">
        <v>1</v>
      </c>
      <c r="B2" s="3">
        <v>46495</v>
      </c>
      <c r="C2" s="2">
        <f t="shared" ref="C2:C33" si="0">IF(B2="","",YEAR(B2))</f>
        <v>2027</v>
      </c>
      <c r="D2" s="2" t="str">
        <f t="shared" ref="D2:D33" si="1">IF(B2="","",CHOOSE(MONTH(B2),"Január","Február","Marec","Apríl","Máj","Jún","Júl","August","September","Október","November","December"))</f>
        <v>Apríl</v>
      </c>
      <c r="E2" s="8">
        <v>0.41666666666666669</v>
      </c>
      <c r="F2" s="2">
        <f t="shared" ref="F2:F33" si="2">IF(B2="","",MONTH(B2))</f>
        <v>4</v>
      </c>
      <c r="G2" s="2" t="s">
        <v>7</v>
      </c>
      <c r="H2" s="2" t="s">
        <v>8</v>
      </c>
      <c r="I2" s="2" t="s">
        <v>9</v>
      </c>
      <c r="J2" s="4">
        <v>21</v>
      </c>
      <c r="K2" s="2" t="s">
        <v>10</v>
      </c>
      <c r="L2" s="2" t="s">
        <v>11</v>
      </c>
      <c r="M2" s="2" t="s">
        <v>12</v>
      </c>
      <c r="N2" s="2" t="s">
        <v>13</v>
      </c>
      <c r="O2" s="2"/>
      <c r="P2" s="2"/>
      <c r="Q2" s="5" t="str">
        <f>""</f>
        <v/>
      </c>
      <c r="R2" s="2" t="s">
        <v>14</v>
      </c>
      <c r="S2" t="str">
        <f t="shared" ref="S2:S33" si="3">IF(B2="","",IF(L2="Absolvovaný","Absolvovaný",IF(L2="Zrušený","Zrušený","Plánovaný")))</f>
        <v>Plánovaný</v>
      </c>
      <c r="T2" s="10" t="str">
        <f t="shared" ref="T2:T33" si="4">IF(Q2="","",Q2/7)</f>
        <v/>
      </c>
    </row>
    <row r="3" spans="1:20">
      <c r="A3" s="2">
        <v>2</v>
      </c>
      <c r="B3" s="3">
        <v>46557</v>
      </c>
      <c r="C3" s="2">
        <f t="shared" si="0"/>
        <v>2027</v>
      </c>
      <c r="D3" s="2" t="str">
        <f t="shared" si="1"/>
        <v>Jún</v>
      </c>
      <c r="E3" s="8">
        <v>0.75</v>
      </c>
      <c r="F3" s="2">
        <f t="shared" si="2"/>
        <v>6</v>
      </c>
      <c r="G3" s="2" t="s">
        <v>15</v>
      </c>
      <c r="H3" s="2" t="s">
        <v>16</v>
      </c>
      <c r="I3" s="2" t="s">
        <v>17</v>
      </c>
      <c r="J3" s="4">
        <v>8</v>
      </c>
      <c r="K3" s="2" t="s">
        <v>18</v>
      </c>
      <c r="L3" s="2" t="s">
        <v>11</v>
      </c>
      <c r="M3" s="2" t="s">
        <v>19</v>
      </c>
      <c r="N3" s="2" t="s">
        <v>13</v>
      </c>
      <c r="O3" s="2"/>
      <c r="P3" s="2"/>
      <c r="Q3" s="5">
        <f t="shared" ref="Q3:Q34" si="5">IF(OR(B3="",B2=""),"",B3-B2)</f>
        <v>62</v>
      </c>
      <c r="R3" s="2" t="s">
        <v>20</v>
      </c>
      <c r="S3" t="str">
        <f t="shared" si="3"/>
        <v>Plánovaný</v>
      </c>
      <c r="T3" s="10">
        <f t="shared" si="4"/>
        <v>8.8571428571428577</v>
      </c>
    </row>
    <row r="4" spans="1:20">
      <c r="A4" s="2">
        <v>3</v>
      </c>
      <c r="B4" s="3">
        <v>46663</v>
      </c>
      <c r="C4" s="2">
        <f t="shared" si="0"/>
        <v>2027</v>
      </c>
      <c r="D4" s="2" t="str">
        <f t="shared" si="1"/>
        <v>Október</v>
      </c>
      <c r="E4" s="8">
        <v>0.375</v>
      </c>
      <c r="F4" s="2">
        <f t="shared" si="2"/>
        <v>10</v>
      </c>
      <c r="G4" s="2" t="s">
        <v>21</v>
      </c>
      <c r="H4" s="2" t="s">
        <v>22</v>
      </c>
      <c r="I4" s="2" t="s">
        <v>9</v>
      </c>
      <c r="J4" s="4">
        <v>42</v>
      </c>
      <c r="K4" s="2" t="s">
        <v>10</v>
      </c>
      <c r="L4" s="2" t="s">
        <v>11</v>
      </c>
      <c r="M4" s="2" t="s">
        <v>23</v>
      </c>
      <c r="N4" s="2" t="s">
        <v>13</v>
      </c>
      <c r="O4" s="2"/>
      <c r="P4" s="2"/>
      <c r="Q4" s="5">
        <f t="shared" si="5"/>
        <v>106</v>
      </c>
      <c r="R4" s="2"/>
      <c r="S4" t="str">
        <f t="shared" si="3"/>
        <v>Plánovaný</v>
      </c>
      <c r="T4" s="10">
        <f t="shared" si="4"/>
        <v>15.142857142857142</v>
      </c>
    </row>
    <row r="5" spans="1:20">
      <c r="A5" s="2"/>
      <c r="B5" s="3"/>
      <c r="C5" s="2" t="str">
        <f t="shared" si="0"/>
        <v/>
      </c>
      <c r="D5" s="2" t="str">
        <f t="shared" si="1"/>
        <v/>
      </c>
      <c r="E5" s="8"/>
      <c r="F5" s="2" t="str">
        <f t="shared" si="2"/>
        <v/>
      </c>
      <c r="G5" s="2"/>
      <c r="H5" s="2"/>
      <c r="I5" s="2"/>
      <c r="J5" s="4"/>
      <c r="K5" s="2"/>
      <c r="L5" s="2"/>
      <c r="M5" s="2"/>
      <c r="N5" s="2"/>
      <c r="O5" s="2"/>
      <c r="P5" s="2"/>
      <c r="Q5" s="5" t="str">
        <f t="shared" si="5"/>
        <v/>
      </c>
      <c r="R5" s="2"/>
      <c r="S5" t="str">
        <f t="shared" si="3"/>
        <v/>
      </c>
      <c r="T5" s="10" t="str">
        <f t="shared" si="4"/>
        <v/>
      </c>
    </row>
    <row r="6" spans="1:20">
      <c r="A6" s="2"/>
      <c r="B6" s="3"/>
      <c r="C6" s="2" t="str">
        <f t="shared" si="0"/>
        <v/>
      </c>
      <c r="D6" s="2" t="str">
        <f t="shared" si="1"/>
        <v/>
      </c>
      <c r="E6" s="8"/>
      <c r="F6" s="2" t="str">
        <f t="shared" si="2"/>
        <v/>
      </c>
      <c r="G6" s="2"/>
      <c r="H6" s="2"/>
      <c r="I6" s="2"/>
      <c r="J6" s="4"/>
      <c r="K6" s="2"/>
      <c r="L6" s="2"/>
      <c r="M6" s="2"/>
      <c r="N6" s="2"/>
      <c r="O6" s="2"/>
      <c r="P6" s="2"/>
      <c r="Q6" s="5" t="str">
        <f t="shared" si="5"/>
        <v/>
      </c>
      <c r="R6" s="2"/>
      <c r="S6" t="str">
        <f t="shared" si="3"/>
        <v/>
      </c>
      <c r="T6" s="10" t="str">
        <f t="shared" si="4"/>
        <v/>
      </c>
    </row>
    <row r="7" spans="1:20">
      <c r="A7" s="2"/>
      <c r="B7" s="3"/>
      <c r="C7" s="2" t="str">
        <f t="shared" si="0"/>
        <v/>
      </c>
      <c r="D7" s="2" t="str">
        <f t="shared" si="1"/>
        <v/>
      </c>
      <c r="E7" s="8"/>
      <c r="F7" s="2" t="str">
        <f t="shared" si="2"/>
        <v/>
      </c>
      <c r="G7" s="2"/>
      <c r="H7" s="2"/>
      <c r="I7" s="2"/>
      <c r="J7" s="4"/>
      <c r="K7" s="2"/>
      <c r="L7" s="2"/>
      <c r="M7" s="2"/>
      <c r="N7" s="2"/>
      <c r="O7" s="2"/>
      <c r="P7" s="2"/>
      <c r="Q7" s="5" t="str">
        <f t="shared" si="5"/>
        <v/>
      </c>
      <c r="R7" s="2"/>
      <c r="S7" t="str">
        <f t="shared" si="3"/>
        <v/>
      </c>
      <c r="T7" s="10" t="str">
        <f t="shared" si="4"/>
        <v/>
      </c>
    </row>
    <row r="8" spans="1:20">
      <c r="A8" s="2"/>
      <c r="B8" s="3"/>
      <c r="C8" s="2" t="str">
        <f t="shared" si="0"/>
        <v/>
      </c>
      <c r="D8" s="2" t="str">
        <f t="shared" si="1"/>
        <v/>
      </c>
      <c r="E8" s="8"/>
      <c r="F8" s="2" t="str">
        <f t="shared" si="2"/>
        <v/>
      </c>
      <c r="G8" s="2"/>
      <c r="H8" s="2"/>
      <c r="I8" s="2"/>
      <c r="J8" s="4"/>
      <c r="K8" s="2"/>
      <c r="L8" s="2"/>
      <c r="M8" s="2"/>
      <c r="N8" s="2"/>
      <c r="O8" s="2"/>
      <c r="P8" s="2"/>
      <c r="Q8" s="5" t="str">
        <f t="shared" si="5"/>
        <v/>
      </c>
      <c r="R8" s="2"/>
      <c r="S8" t="str">
        <f t="shared" si="3"/>
        <v/>
      </c>
      <c r="T8" s="10" t="str">
        <f t="shared" si="4"/>
        <v/>
      </c>
    </row>
    <row r="9" spans="1:20">
      <c r="A9" s="2"/>
      <c r="B9" s="3"/>
      <c r="C9" s="2" t="str">
        <f t="shared" si="0"/>
        <v/>
      </c>
      <c r="D9" s="2" t="str">
        <f t="shared" si="1"/>
        <v/>
      </c>
      <c r="E9" s="8"/>
      <c r="F9" s="2" t="str">
        <f t="shared" si="2"/>
        <v/>
      </c>
      <c r="G9" s="2"/>
      <c r="H9" s="2"/>
      <c r="I9" s="2"/>
      <c r="J9" s="4"/>
      <c r="K9" s="2"/>
      <c r="L9" s="2"/>
      <c r="M9" s="2"/>
      <c r="N9" s="2"/>
      <c r="O9" s="2"/>
      <c r="P9" s="2"/>
      <c r="Q9" s="5" t="str">
        <f t="shared" si="5"/>
        <v/>
      </c>
      <c r="R9" s="2"/>
      <c r="S9" t="str">
        <f t="shared" si="3"/>
        <v/>
      </c>
      <c r="T9" s="10" t="str">
        <f t="shared" si="4"/>
        <v/>
      </c>
    </row>
    <row r="10" spans="1:20">
      <c r="A10" s="2"/>
      <c r="B10" s="3"/>
      <c r="C10" s="2" t="str">
        <f t="shared" si="0"/>
        <v/>
      </c>
      <c r="D10" s="2" t="str">
        <f t="shared" si="1"/>
        <v/>
      </c>
      <c r="E10" s="8"/>
      <c r="F10" s="2" t="str">
        <f t="shared" si="2"/>
        <v/>
      </c>
      <c r="G10" s="2"/>
      <c r="H10" s="2"/>
      <c r="I10" s="2"/>
      <c r="J10" s="4"/>
      <c r="K10" s="2"/>
      <c r="L10" s="2"/>
      <c r="M10" s="2"/>
      <c r="N10" s="2"/>
      <c r="O10" s="2"/>
      <c r="P10" s="2"/>
      <c r="Q10" s="5" t="str">
        <f t="shared" si="5"/>
        <v/>
      </c>
      <c r="R10" s="2"/>
      <c r="S10" t="str">
        <f t="shared" si="3"/>
        <v/>
      </c>
      <c r="T10" s="10" t="str">
        <f t="shared" si="4"/>
        <v/>
      </c>
    </row>
    <row r="11" spans="1:20">
      <c r="A11" s="2"/>
      <c r="B11" s="3"/>
      <c r="C11" s="2" t="str">
        <f t="shared" si="0"/>
        <v/>
      </c>
      <c r="D11" s="2" t="str">
        <f t="shared" si="1"/>
        <v/>
      </c>
      <c r="E11" s="8"/>
      <c r="F11" s="2" t="str">
        <f t="shared" si="2"/>
        <v/>
      </c>
      <c r="G11" s="2"/>
      <c r="H11" s="2"/>
      <c r="I11" s="2"/>
      <c r="J11" s="4"/>
      <c r="K11" s="2"/>
      <c r="L11" s="2"/>
      <c r="M11" s="2"/>
      <c r="N11" s="2"/>
      <c r="O11" s="2"/>
      <c r="P11" s="2"/>
      <c r="Q11" s="5" t="str">
        <f t="shared" si="5"/>
        <v/>
      </c>
      <c r="R11" s="2"/>
      <c r="S11" t="str">
        <f t="shared" si="3"/>
        <v/>
      </c>
      <c r="T11" s="10" t="str">
        <f t="shared" si="4"/>
        <v/>
      </c>
    </row>
    <row r="12" spans="1:20">
      <c r="A12" s="2"/>
      <c r="B12" s="3"/>
      <c r="C12" s="2" t="str">
        <f t="shared" si="0"/>
        <v/>
      </c>
      <c r="D12" s="2" t="str">
        <f t="shared" si="1"/>
        <v/>
      </c>
      <c r="E12" s="8"/>
      <c r="F12" s="2" t="str">
        <f t="shared" si="2"/>
        <v/>
      </c>
      <c r="G12" s="2"/>
      <c r="H12" s="2"/>
      <c r="I12" s="2"/>
      <c r="J12" s="4"/>
      <c r="K12" s="2"/>
      <c r="L12" s="2"/>
      <c r="M12" s="2"/>
      <c r="N12" s="2"/>
      <c r="O12" s="2"/>
      <c r="P12" s="2"/>
      <c r="Q12" s="5" t="str">
        <f t="shared" si="5"/>
        <v/>
      </c>
      <c r="R12" s="2"/>
      <c r="S12" t="str">
        <f t="shared" si="3"/>
        <v/>
      </c>
      <c r="T12" s="10" t="str">
        <f t="shared" si="4"/>
        <v/>
      </c>
    </row>
    <row r="13" spans="1:20">
      <c r="A13" s="2"/>
      <c r="B13" s="3"/>
      <c r="C13" s="2" t="str">
        <f t="shared" si="0"/>
        <v/>
      </c>
      <c r="D13" s="2" t="str">
        <f t="shared" si="1"/>
        <v/>
      </c>
      <c r="E13" s="8"/>
      <c r="F13" s="2" t="str">
        <f t="shared" si="2"/>
        <v/>
      </c>
      <c r="G13" s="2"/>
      <c r="H13" s="2"/>
      <c r="I13" s="2"/>
      <c r="J13" s="4"/>
      <c r="K13" s="2"/>
      <c r="L13" s="2"/>
      <c r="M13" s="2"/>
      <c r="N13" s="2"/>
      <c r="O13" s="2"/>
      <c r="P13" s="2"/>
      <c r="Q13" s="5" t="str">
        <f t="shared" si="5"/>
        <v/>
      </c>
      <c r="R13" s="2"/>
      <c r="S13" t="str">
        <f t="shared" si="3"/>
        <v/>
      </c>
      <c r="T13" s="10" t="str">
        <f t="shared" si="4"/>
        <v/>
      </c>
    </row>
    <row r="14" spans="1:20">
      <c r="A14" s="2"/>
      <c r="B14" s="3"/>
      <c r="C14" s="2" t="str">
        <f t="shared" si="0"/>
        <v/>
      </c>
      <c r="D14" s="2" t="str">
        <f t="shared" si="1"/>
        <v/>
      </c>
      <c r="E14" s="8"/>
      <c r="F14" s="2" t="str">
        <f t="shared" si="2"/>
        <v/>
      </c>
      <c r="G14" s="2"/>
      <c r="H14" s="2"/>
      <c r="I14" s="2"/>
      <c r="J14" s="4"/>
      <c r="K14" s="2"/>
      <c r="L14" s="2"/>
      <c r="M14" s="2"/>
      <c r="N14" s="2"/>
      <c r="O14" s="2"/>
      <c r="P14" s="2"/>
      <c r="Q14" s="5" t="str">
        <f t="shared" si="5"/>
        <v/>
      </c>
      <c r="R14" s="2"/>
      <c r="S14" t="str">
        <f t="shared" si="3"/>
        <v/>
      </c>
      <c r="T14" s="10" t="str">
        <f t="shared" si="4"/>
        <v/>
      </c>
    </row>
    <row r="15" spans="1:20">
      <c r="A15" s="2"/>
      <c r="B15" s="3"/>
      <c r="C15" s="2" t="str">
        <f t="shared" si="0"/>
        <v/>
      </c>
      <c r="D15" s="2" t="str">
        <f t="shared" si="1"/>
        <v/>
      </c>
      <c r="E15" s="8"/>
      <c r="F15" s="2" t="str">
        <f t="shared" si="2"/>
        <v/>
      </c>
      <c r="G15" s="2"/>
      <c r="H15" s="2"/>
      <c r="I15" s="2"/>
      <c r="J15" s="4"/>
      <c r="K15" s="2"/>
      <c r="L15" s="2"/>
      <c r="M15" s="2"/>
      <c r="N15" s="2"/>
      <c r="O15" s="2"/>
      <c r="P15" s="2"/>
      <c r="Q15" s="5" t="str">
        <f t="shared" si="5"/>
        <v/>
      </c>
      <c r="R15" s="2"/>
      <c r="S15" t="str">
        <f t="shared" si="3"/>
        <v/>
      </c>
      <c r="T15" s="10" t="str">
        <f t="shared" si="4"/>
        <v/>
      </c>
    </row>
    <row r="16" spans="1:20">
      <c r="A16" s="2"/>
      <c r="B16" s="3"/>
      <c r="C16" s="2" t="str">
        <f t="shared" si="0"/>
        <v/>
      </c>
      <c r="D16" s="2" t="str">
        <f t="shared" si="1"/>
        <v/>
      </c>
      <c r="E16" s="8"/>
      <c r="F16" s="2" t="str">
        <f t="shared" si="2"/>
        <v/>
      </c>
      <c r="G16" s="2"/>
      <c r="H16" s="2"/>
      <c r="I16" s="2"/>
      <c r="J16" s="4"/>
      <c r="K16" s="2"/>
      <c r="L16" s="2"/>
      <c r="M16" s="2"/>
      <c r="N16" s="2"/>
      <c r="O16" s="2"/>
      <c r="P16" s="2"/>
      <c r="Q16" s="5" t="str">
        <f t="shared" si="5"/>
        <v/>
      </c>
      <c r="R16" s="2"/>
      <c r="S16" t="str">
        <f t="shared" si="3"/>
        <v/>
      </c>
      <c r="T16" s="10" t="str">
        <f t="shared" si="4"/>
        <v/>
      </c>
    </row>
    <row r="17" spans="1:20">
      <c r="A17" s="2"/>
      <c r="B17" s="3"/>
      <c r="C17" s="2" t="str">
        <f t="shared" si="0"/>
        <v/>
      </c>
      <c r="D17" s="2" t="str">
        <f t="shared" si="1"/>
        <v/>
      </c>
      <c r="E17" s="8"/>
      <c r="F17" s="2" t="str">
        <f t="shared" si="2"/>
        <v/>
      </c>
      <c r="G17" s="2"/>
      <c r="H17" s="2"/>
      <c r="I17" s="2"/>
      <c r="J17" s="4"/>
      <c r="K17" s="2"/>
      <c r="L17" s="2"/>
      <c r="M17" s="2"/>
      <c r="N17" s="2"/>
      <c r="O17" s="2"/>
      <c r="P17" s="2"/>
      <c r="Q17" s="5" t="str">
        <f t="shared" si="5"/>
        <v/>
      </c>
      <c r="R17" s="2"/>
      <c r="S17" t="str">
        <f t="shared" si="3"/>
        <v/>
      </c>
      <c r="T17" s="10" t="str">
        <f t="shared" si="4"/>
        <v/>
      </c>
    </row>
    <row r="18" spans="1:20">
      <c r="A18" s="2"/>
      <c r="B18" s="3"/>
      <c r="C18" s="2" t="str">
        <f t="shared" si="0"/>
        <v/>
      </c>
      <c r="D18" s="2" t="str">
        <f t="shared" si="1"/>
        <v/>
      </c>
      <c r="E18" s="8"/>
      <c r="F18" s="2" t="str">
        <f t="shared" si="2"/>
        <v/>
      </c>
      <c r="G18" s="2"/>
      <c r="H18" s="2"/>
      <c r="I18" s="2"/>
      <c r="J18" s="4"/>
      <c r="K18" s="2"/>
      <c r="L18" s="2"/>
      <c r="M18" s="2"/>
      <c r="N18" s="2"/>
      <c r="O18" s="2"/>
      <c r="P18" s="2"/>
      <c r="Q18" s="5" t="str">
        <f t="shared" si="5"/>
        <v/>
      </c>
      <c r="R18" s="2"/>
      <c r="S18" t="str">
        <f t="shared" si="3"/>
        <v/>
      </c>
      <c r="T18" s="10" t="str">
        <f t="shared" si="4"/>
        <v/>
      </c>
    </row>
    <row r="19" spans="1:20">
      <c r="A19" s="2"/>
      <c r="B19" s="3"/>
      <c r="C19" s="2" t="str">
        <f t="shared" si="0"/>
        <v/>
      </c>
      <c r="D19" s="2" t="str">
        <f t="shared" si="1"/>
        <v/>
      </c>
      <c r="E19" s="8"/>
      <c r="F19" s="2" t="str">
        <f t="shared" si="2"/>
        <v/>
      </c>
      <c r="G19" s="2"/>
      <c r="H19" s="2"/>
      <c r="I19" s="2"/>
      <c r="J19" s="4"/>
      <c r="K19" s="2"/>
      <c r="L19" s="2"/>
      <c r="M19" s="2"/>
      <c r="N19" s="2"/>
      <c r="O19" s="2"/>
      <c r="P19" s="2"/>
      <c r="Q19" s="5" t="str">
        <f t="shared" si="5"/>
        <v/>
      </c>
      <c r="R19" s="2"/>
      <c r="S19" t="str">
        <f t="shared" si="3"/>
        <v/>
      </c>
      <c r="T19" s="10" t="str">
        <f t="shared" si="4"/>
        <v/>
      </c>
    </row>
    <row r="20" spans="1:20">
      <c r="A20" s="2"/>
      <c r="B20" s="3"/>
      <c r="C20" s="2" t="str">
        <f t="shared" si="0"/>
        <v/>
      </c>
      <c r="D20" s="2" t="str">
        <f t="shared" si="1"/>
        <v/>
      </c>
      <c r="E20" s="8"/>
      <c r="F20" s="2" t="str">
        <f t="shared" si="2"/>
        <v/>
      </c>
      <c r="G20" s="2"/>
      <c r="H20" s="2"/>
      <c r="I20" s="2"/>
      <c r="J20" s="4"/>
      <c r="K20" s="2"/>
      <c r="L20" s="2"/>
      <c r="M20" s="2"/>
      <c r="N20" s="2"/>
      <c r="O20" s="2"/>
      <c r="P20" s="2"/>
      <c r="Q20" s="5" t="str">
        <f t="shared" si="5"/>
        <v/>
      </c>
      <c r="R20" s="2"/>
      <c r="S20" t="str">
        <f t="shared" si="3"/>
        <v/>
      </c>
      <c r="T20" s="10" t="str">
        <f t="shared" si="4"/>
        <v/>
      </c>
    </row>
    <row r="21" spans="1:20">
      <c r="A21" s="2"/>
      <c r="B21" s="3"/>
      <c r="C21" s="2" t="str">
        <f t="shared" si="0"/>
        <v/>
      </c>
      <c r="D21" s="2" t="str">
        <f t="shared" si="1"/>
        <v/>
      </c>
      <c r="E21" s="8"/>
      <c r="F21" s="2" t="str">
        <f t="shared" si="2"/>
        <v/>
      </c>
      <c r="G21" s="2"/>
      <c r="H21" s="2"/>
      <c r="I21" s="2"/>
      <c r="J21" s="4"/>
      <c r="K21" s="2"/>
      <c r="L21" s="2"/>
      <c r="M21" s="2"/>
      <c r="N21" s="2"/>
      <c r="O21" s="2"/>
      <c r="P21" s="2"/>
      <c r="Q21" s="5" t="str">
        <f t="shared" si="5"/>
        <v/>
      </c>
      <c r="R21" s="2"/>
      <c r="S21" t="str">
        <f t="shared" si="3"/>
        <v/>
      </c>
      <c r="T21" s="10" t="str">
        <f t="shared" si="4"/>
        <v/>
      </c>
    </row>
    <row r="22" spans="1:20">
      <c r="A22" s="2"/>
      <c r="B22" s="3"/>
      <c r="C22" s="2" t="str">
        <f t="shared" si="0"/>
        <v/>
      </c>
      <c r="D22" s="2" t="str">
        <f t="shared" si="1"/>
        <v/>
      </c>
      <c r="E22" s="8"/>
      <c r="F22" s="2" t="str">
        <f t="shared" si="2"/>
        <v/>
      </c>
      <c r="G22" s="2"/>
      <c r="H22" s="2"/>
      <c r="I22" s="2"/>
      <c r="J22" s="4"/>
      <c r="K22" s="2"/>
      <c r="L22" s="2"/>
      <c r="M22" s="2"/>
      <c r="N22" s="2"/>
      <c r="O22" s="2"/>
      <c r="P22" s="2"/>
      <c r="Q22" s="5" t="str">
        <f t="shared" si="5"/>
        <v/>
      </c>
      <c r="R22" s="2"/>
      <c r="S22" t="str">
        <f t="shared" si="3"/>
        <v/>
      </c>
      <c r="T22" s="10" t="str">
        <f t="shared" si="4"/>
        <v/>
      </c>
    </row>
    <row r="23" spans="1:20">
      <c r="A23" s="2"/>
      <c r="B23" s="3"/>
      <c r="C23" s="2" t="str">
        <f t="shared" si="0"/>
        <v/>
      </c>
      <c r="D23" s="2" t="str">
        <f t="shared" si="1"/>
        <v/>
      </c>
      <c r="E23" s="8"/>
      <c r="F23" s="2" t="str">
        <f t="shared" si="2"/>
        <v/>
      </c>
      <c r="G23" s="2"/>
      <c r="H23" s="2"/>
      <c r="I23" s="2"/>
      <c r="J23" s="4"/>
      <c r="K23" s="2"/>
      <c r="L23" s="2"/>
      <c r="M23" s="2"/>
      <c r="N23" s="2"/>
      <c r="O23" s="2"/>
      <c r="P23" s="2"/>
      <c r="Q23" s="5" t="str">
        <f t="shared" si="5"/>
        <v/>
      </c>
      <c r="R23" s="2"/>
      <c r="S23" t="str">
        <f t="shared" si="3"/>
        <v/>
      </c>
      <c r="T23" s="10" t="str">
        <f t="shared" si="4"/>
        <v/>
      </c>
    </row>
    <row r="24" spans="1:20">
      <c r="A24" s="2"/>
      <c r="B24" s="3"/>
      <c r="C24" s="2" t="str">
        <f t="shared" si="0"/>
        <v/>
      </c>
      <c r="D24" s="2" t="str">
        <f t="shared" si="1"/>
        <v/>
      </c>
      <c r="E24" s="8"/>
      <c r="F24" s="2" t="str">
        <f t="shared" si="2"/>
        <v/>
      </c>
      <c r="G24" s="2"/>
      <c r="H24" s="2"/>
      <c r="I24" s="2"/>
      <c r="J24" s="4"/>
      <c r="K24" s="2"/>
      <c r="L24" s="2"/>
      <c r="M24" s="2"/>
      <c r="N24" s="2"/>
      <c r="O24" s="2"/>
      <c r="P24" s="2"/>
      <c r="Q24" s="5" t="str">
        <f t="shared" si="5"/>
        <v/>
      </c>
      <c r="R24" s="2"/>
      <c r="S24" t="str">
        <f t="shared" si="3"/>
        <v/>
      </c>
      <c r="T24" s="10" t="str">
        <f t="shared" si="4"/>
        <v/>
      </c>
    </row>
    <row r="25" spans="1:20">
      <c r="A25" s="2"/>
      <c r="B25" s="3"/>
      <c r="C25" s="2" t="str">
        <f t="shared" si="0"/>
        <v/>
      </c>
      <c r="D25" s="2" t="str">
        <f t="shared" si="1"/>
        <v/>
      </c>
      <c r="E25" s="8"/>
      <c r="F25" s="2" t="str">
        <f t="shared" si="2"/>
        <v/>
      </c>
      <c r="G25" s="2"/>
      <c r="H25" s="2"/>
      <c r="I25" s="2"/>
      <c r="J25" s="4"/>
      <c r="K25" s="2"/>
      <c r="L25" s="2"/>
      <c r="M25" s="2"/>
      <c r="N25" s="2"/>
      <c r="O25" s="2"/>
      <c r="P25" s="2"/>
      <c r="Q25" s="5" t="str">
        <f t="shared" si="5"/>
        <v/>
      </c>
      <c r="R25" s="2"/>
      <c r="S25" t="str">
        <f t="shared" si="3"/>
        <v/>
      </c>
      <c r="T25" s="10" t="str">
        <f t="shared" si="4"/>
        <v/>
      </c>
    </row>
    <row r="26" spans="1:20">
      <c r="A26" s="2"/>
      <c r="B26" s="3"/>
      <c r="C26" s="2" t="str">
        <f t="shared" si="0"/>
        <v/>
      </c>
      <c r="D26" s="2" t="str">
        <f t="shared" si="1"/>
        <v/>
      </c>
      <c r="E26" s="8"/>
      <c r="F26" s="2" t="str">
        <f t="shared" si="2"/>
        <v/>
      </c>
      <c r="G26" s="2"/>
      <c r="H26" s="2"/>
      <c r="I26" s="2"/>
      <c r="J26" s="4"/>
      <c r="K26" s="2"/>
      <c r="L26" s="2"/>
      <c r="M26" s="2"/>
      <c r="N26" s="2"/>
      <c r="O26" s="2"/>
      <c r="P26" s="2"/>
      <c r="Q26" s="5" t="str">
        <f t="shared" si="5"/>
        <v/>
      </c>
      <c r="R26" s="2"/>
      <c r="S26" t="str">
        <f t="shared" si="3"/>
        <v/>
      </c>
      <c r="T26" s="10" t="str">
        <f t="shared" si="4"/>
        <v/>
      </c>
    </row>
    <row r="27" spans="1:20">
      <c r="A27" s="2"/>
      <c r="B27" s="3"/>
      <c r="C27" s="2" t="str">
        <f t="shared" si="0"/>
        <v/>
      </c>
      <c r="D27" s="2" t="str">
        <f t="shared" si="1"/>
        <v/>
      </c>
      <c r="E27" s="8"/>
      <c r="F27" s="2" t="str">
        <f t="shared" si="2"/>
        <v/>
      </c>
      <c r="G27" s="2"/>
      <c r="H27" s="2"/>
      <c r="I27" s="2"/>
      <c r="J27" s="4"/>
      <c r="K27" s="2"/>
      <c r="L27" s="2"/>
      <c r="M27" s="2"/>
      <c r="N27" s="2"/>
      <c r="O27" s="2"/>
      <c r="P27" s="2"/>
      <c r="Q27" s="5" t="str">
        <f t="shared" si="5"/>
        <v/>
      </c>
      <c r="R27" s="2"/>
      <c r="S27" t="str">
        <f t="shared" si="3"/>
        <v/>
      </c>
      <c r="T27" s="10" t="str">
        <f t="shared" si="4"/>
        <v/>
      </c>
    </row>
    <row r="28" spans="1:20">
      <c r="A28" s="2"/>
      <c r="B28" s="3"/>
      <c r="C28" s="2" t="str">
        <f t="shared" si="0"/>
        <v/>
      </c>
      <c r="D28" s="2" t="str">
        <f t="shared" si="1"/>
        <v/>
      </c>
      <c r="E28" s="8"/>
      <c r="F28" s="2" t="str">
        <f t="shared" si="2"/>
        <v/>
      </c>
      <c r="G28" s="2"/>
      <c r="H28" s="2"/>
      <c r="I28" s="2"/>
      <c r="J28" s="4"/>
      <c r="K28" s="2"/>
      <c r="L28" s="2"/>
      <c r="M28" s="2"/>
      <c r="N28" s="2"/>
      <c r="O28" s="2"/>
      <c r="P28" s="2"/>
      <c r="Q28" s="5" t="str">
        <f t="shared" si="5"/>
        <v/>
      </c>
      <c r="R28" s="2"/>
      <c r="S28" t="str">
        <f t="shared" si="3"/>
        <v/>
      </c>
      <c r="T28" s="10" t="str">
        <f t="shared" si="4"/>
        <v/>
      </c>
    </row>
    <row r="29" spans="1:20">
      <c r="A29" s="2"/>
      <c r="B29" s="3"/>
      <c r="C29" s="2" t="str">
        <f t="shared" si="0"/>
        <v/>
      </c>
      <c r="D29" s="2" t="str">
        <f t="shared" si="1"/>
        <v/>
      </c>
      <c r="E29" s="8"/>
      <c r="F29" s="2" t="str">
        <f t="shared" si="2"/>
        <v/>
      </c>
      <c r="G29" s="2"/>
      <c r="H29" s="2"/>
      <c r="I29" s="2"/>
      <c r="J29" s="4"/>
      <c r="K29" s="2"/>
      <c r="L29" s="2"/>
      <c r="M29" s="2"/>
      <c r="N29" s="2"/>
      <c r="O29" s="2"/>
      <c r="P29" s="2"/>
      <c r="Q29" s="5" t="str">
        <f t="shared" si="5"/>
        <v/>
      </c>
      <c r="R29" s="2"/>
      <c r="S29" t="str">
        <f t="shared" si="3"/>
        <v/>
      </c>
      <c r="T29" s="10" t="str">
        <f t="shared" si="4"/>
        <v/>
      </c>
    </row>
    <row r="30" spans="1:20">
      <c r="A30" s="2"/>
      <c r="B30" s="3"/>
      <c r="C30" s="2" t="str">
        <f t="shared" si="0"/>
        <v/>
      </c>
      <c r="D30" s="2" t="str">
        <f t="shared" si="1"/>
        <v/>
      </c>
      <c r="E30" s="8"/>
      <c r="F30" s="2" t="str">
        <f t="shared" si="2"/>
        <v/>
      </c>
      <c r="G30" s="2"/>
      <c r="H30" s="2"/>
      <c r="I30" s="2"/>
      <c r="J30" s="4"/>
      <c r="K30" s="2"/>
      <c r="L30" s="2"/>
      <c r="M30" s="2"/>
      <c r="N30" s="2"/>
      <c r="O30" s="2"/>
      <c r="P30" s="2"/>
      <c r="Q30" s="5" t="str">
        <f t="shared" si="5"/>
        <v/>
      </c>
      <c r="R30" s="2"/>
      <c r="S30" t="str">
        <f t="shared" si="3"/>
        <v/>
      </c>
      <c r="T30" s="10" t="str">
        <f t="shared" si="4"/>
        <v/>
      </c>
    </row>
    <row r="31" spans="1:20">
      <c r="A31" s="2"/>
      <c r="B31" s="3"/>
      <c r="C31" s="2" t="str">
        <f t="shared" si="0"/>
        <v/>
      </c>
      <c r="D31" s="2" t="str">
        <f t="shared" si="1"/>
        <v/>
      </c>
      <c r="E31" s="8"/>
      <c r="F31" s="2" t="str">
        <f t="shared" si="2"/>
        <v/>
      </c>
      <c r="G31" s="2"/>
      <c r="H31" s="2"/>
      <c r="I31" s="2"/>
      <c r="J31" s="4"/>
      <c r="K31" s="2"/>
      <c r="L31" s="2"/>
      <c r="M31" s="2"/>
      <c r="N31" s="2"/>
      <c r="O31" s="2"/>
      <c r="P31" s="2"/>
      <c r="Q31" s="5" t="str">
        <f t="shared" si="5"/>
        <v/>
      </c>
      <c r="R31" s="2"/>
      <c r="S31" t="str">
        <f t="shared" si="3"/>
        <v/>
      </c>
      <c r="T31" s="10" t="str">
        <f t="shared" si="4"/>
        <v/>
      </c>
    </row>
    <row r="32" spans="1:20">
      <c r="A32" s="2"/>
      <c r="B32" s="3"/>
      <c r="C32" s="2" t="str">
        <f t="shared" si="0"/>
        <v/>
      </c>
      <c r="D32" s="2" t="str">
        <f t="shared" si="1"/>
        <v/>
      </c>
      <c r="E32" s="8"/>
      <c r="F32" s="2" t="str">
        <f t="shared" si="2"/>
        <v/>
      </c>
      <c r="G32" s="2"/>
      <c r="H32" s="2"/>
      <c r="I32" s="2"/>
      <c r="J32" s="4"/>
      <c r="K32" s="2"/>
      <c r="L32" s="2"/>
      <c r="M32" s="2"/>
      <c r="N32" s="2"/>
      <c r="O32" s="2"/>
      <c r="P32" s="2"/>
      <c r="Q32" s="5" t="str">
        <f t="shared" si="5"/>
        <v/>
      </c>
      <c r="R32" s="2"/>
      <c r="S32" t="str">
        <f t="shared" si="3"/>
        <v/>
      </c>
      <c r="T32" s="10" t="str">
        <f t="shared" si="4"/>
        <v/>
      </c>
    </row>
    <row r="33" spans="1:20">
      <c r="A33" s="2"/>
      <c r="B33" s="3"/>
      <c r="C33" s="2" t="str">
        <f t="shared" si="0"/>
        <v/>
      </c>
      <c r="D33" s="2" t="str">
        <f t="shared" si="1"/>
        <v/>
      </c>
      <c r="E33" s="8"/>
      <c r="F33" s="2" t="str">
        <f t="shared" si="2"/>
        <v/>
      </c>
      <c r="G33" s="2"/>
      <c r="H33" s="2"/>
      <c r="I33" s="2"/>
      <c r="J33" s="4"/>
      <c r="K33" s="2"/>
      <c r="L33" s="2"/>
      <c r="M33" s="2"/>
      <c r="N33" s="2"/>
      <c r="O33" s="2"/>
      <c r="P33" s="2"/>
      <c r="Q33" s="5" t="str">
        <f t="shared" si="5"/>
        <v/>
      </c>
      <c r="R33" s="2"/>
      <c r="S33" t="str">
        <f t="shared" si="3"/>
        <v/>
      </c>
      <c r="T33" s="10" t="str">
        <f t="shared" si="4"/>
        <v/>
      </c>
    </row>
    <row r="34" spans="1:20">
      <c r="A34" s="2"/>
      <c r="B34" s="3"/>
      <c r="C34" s="2" t="str">
        <f t="shared" ref="C34:C65" si="6">IF(B34="","",YEAR(B34))</f>
        <v/>
      </c>
      <c r="D34" s="2" t="str">
        <f t="shared" ref="D34:D65" si="7">IF(B34="","",CHOOSE(MONTH(B34),"Január","Február","Marec","Apríl","Máj","Jún","Júl","August","September","Október","November","December"))</f>
        <v/>
      </c>
      <c r="E34" s="8"/>
      <c r="F34" s="2" t="str">
        <f t="shared" ref="F34:F65" si="8">IF(B34="","",MONTH(B34))</f>
        <v/>
      </c>
      <c r="G34" s="2"/>
      <c r="H34" s="2"/>
      <c r="I34" s="2"/>
      <c r="J34" s="4"/>
      <c r="K34" s="2"/>
      <c r="L34" s="2"/>
      <c r="M34" s="2"/>
      <c r="N34" s="2"/>
      <c r="O34" s="2"/>
      <c r="P34" s="2"/>
      <c r="Q34" s="5" t="str">
        <f t="shared" si="5"/>
        <v/>
      </c>
      <c r="R34" s="2"/>
      <c r="S34" t="str">
        <f t="shared" ref="S34:S65" si="9">IF(B34="","",IF(L34="Absolvovaný","Absolvovaný",IF(L34="Zrušený","Zrušený","Plánovaný")))</f>
        <v/>
      </c>
      <c r="T34" s="10" t="str">
        <f t="shared" ref="T34:T65" si="10">IF(Q34="","",Q34/7)</f>
        <v/>
      </c>
    </row>
    <row r="35" spans="1:20">
      <c r="A35" s="2"/>
      <c r="B35" s="3"/>
      <c r="C35" s="2" t="str">
        <f t="shared" si="6"/>
        <v/>
      </c>
      <c r="D35" s="2" t="str">
        <f t="shared" si="7"/>
        <v/>
      </c>
      <c r="E35" s="8"/>
      <c r="F35" s="2" t="str">
        <f t="shared" si="8"/>
        <v/>
      </c>
      <c r="G35" s="2"/>
      <c r="H35" s="2"/>
      <c r="I35" s="2"/>
      <c r="J35" s="4"/>
      <c r="K35" s="2"/>
      <c r="L35" s="2"/>
      <c r="M35" s="2"/>
      <c r="N35" s="2"/>
      <c r="O35" s="2"/>
      <c r="P35" s="2"/>
      <c r="Q35" s="5" t="str">
        <f t="shared" ref="Q35:Q66" si="11">IF(OR(B35="",B34=""),"",B35-B34)</f>
        <v/>
      </c>
      <c r="R35" s="2"/>
      <c r="S35" t="str">
        <f t="shared" si="9"/>
        <v/>
      </c>
      <c r="T35" s="10" t="str">
        <f t="shared" si="10"/>
        <v/>
      </c>
    </row>
    <row r="36" spans="1:20">
      <c r="A36" s="2"/>
      <c r="B36" s="3"/>
      <c r="C36" s="2" t="str">
        <f t="shared" si="6"/>
        <v/>
      </c>
      <c r="D36" s="2" t="str">
        <f t="shared" si="7"/>
        <v/>
      </c>
      <c r="E36" s="8"/>
      <c r="F36" s="2" t="str">
        <f t="shared" si="8"/>
        <v/>
      </c>
      <c r="G36" s="2"/>
      <c r="H36" s="2"/>
      <c r="I36" s="2"/>
      <c r="J36" s="4"/>
      <c r="K36" s="2"/>
      <c r="L36" s="2"/>
      <c r="M36" s="2"/>
      <c r="N36" s="2"/>
      <c r="O36" s="2"/>
      <c r="P36" s="2"/>
      <c r="Q36" s="5" t="str">
        <f t="shared" si="11"/>
        <v/>
      </c>
      <c r="R36" s="2"/>
      <c r="S36" t="str">
        <f t="shared" si="9"/>
        <v/>
      </c>
      <c r="T36" s="10" t="str">
        <f t="shared" si="10"/>
        <v/>
      </c>
    </row>
    <row r="37" spans="1:20">
      <c r="A37" s="2"/>
      <c r="B37" s="3"/>
      <c r="C37" s="2" t="str">
        <f t="shared" si="6"/>
        <v/>
      </c>
      <c r="D37" s="2" t="str">
        <f t="shared" si="7"/>
        <v/>
      </c>
      <c r="E37" s="8"/>
      <c r="F37" s="2" t="str">
        <f t="shared" si="8"/>
        <v/>
      </c>
      <c r="G37" s="2"/>
      <c r="H37" s="2"/>
      <c r="I37" s="2"/>
      <c r="J37" s="4"/>
      <c r="K37" s="2"/>
      <c r="L37" s="2"/>
      <c r="M37" s="2"/>
      <c r="N37" s="2"/>
      <c r="O37" s="2"/>
      <c r="P37" s="2"/>
      <c r="Q37" s="5" t="str">
        <f t="shared" si="11"/>
        <v/>
      </c>
      <c r="R37" s="2"/>
      <c r="S37" t="str">
        <f t="shared" si="9"/>
        <v/>
      </c>
      <c r="T37" s="10" t="str">
        <f t="shared" si="10"/>
        <v/>
      </c>
    </row>
    <row r="38" spans="1:20">
      <c r="A38" s="2"/>
      <c r="B38" s="3"/>
      <c r="C38" s="2" t="str">
        <f t="shared" si="6"/>
        <v/>
      </c>
      <c r="D38" s="2" t="str">
        <f t="shared" si="7"/>
        <v/>
      </c>
      <c r="E38" s="8"/>
      <c r="F38" s="2" t="str">
        <f t="shared" si="8"/>
        <v/>
      </c>
      <c r="G38" s="2"/>
      <c r="H38" s="2"/>
      <c r="I38" s="2"/>
      <c r="J38" s="4"/>
      <c r="K38" s="2"/>
      <c r="L38" s="2"/>
      <c r="M38" s="2"/>
      <c r="N38" s="2"/>
      <c r="O38" s="2"/>
      <c r="P38" s="2"/>
      <c r="Q38" s="5" t="str">
        <f t="shared" si="11"/>
        <v/>
      </c>
      <c r="R38" s="2"/>
      <c r="S38" t="str">
        <f t="shared" si="9"/>
        <v/>
      </c>
      <c r="T38" s="10" t="str">
        <f t="shared" si="10"/>
        <v/>
      </c>
    </row>
    <row r="39" spans="1:20">
      <c r="A39" s="2"/>
      <c r="B39" s="3"/>
      <c r="C39" s="2" t="str">
        <f t="shared" si="6"/>
        <v/>
      </c>
      <c r="D39" s="2" t="str">
        <f t="shared" si="7"/>
        <v/>
      </c>
      <c r="E39" s="8"/>
      <c r="F39" s="2" t="str">
        <f t="shared" si="8"/>
        <v/>
      </c>
      <c r="G39" s="2"/>
      <c r="H39" s="2"/>
      <c r="I39" s="2"/>
      <c r="J39" s="4"/>
      <c r="K39" s="2"/>
      <c r="L39" s="2"/>
      <c r="M39" s="2"/>
      <c r="N39" s="2"/>
      <c r="O39" s="2"/>
      <c r="P39" s="2"/>
      <c r="Q39" s="5" t="str">
        <f t="shared" si="11"/>
        <v/>
      </c>
      <c r="R39" s="2"/>
      <c r="S39" t="str">
        <f t="shared" si="9"/>
        <v/>
      </c>
      <c r="T39" s="10" t="str">
        <f t="shared" si="10"/>
        <v/>
      </c>
    </row>
    <row r="40" spans="1:20">
      <c r="A40" s="2"/>
      <c r="B40" s="3"/>
      <c r="C40" s="2" t="str">
        <f t="shared" si="6"/>
        <v/>
      </c>
      <c r="D40" s="2" t="str">
        <f t="shared" si="7"/>
        <v/>
      </c>
      <c r="E40" s="8"/>
      <c r="F40" s="2" t="str">
        <f t="shared" si="8"/>
        <v/>
      </c>
      <c r="G40" s="2"/>
      <c r="H40" s="2"/>
      <c r="I40" s="2"/>
      <c r="J40" s="4"/>
      <c r="K40" s="2"/>
      <c r="L40" s="2"/>
      <c r="M40" s="2"/>
      <c r="N40" s="2"/>
      <c r="O40" s="2"/>
      <c r="P40" s="2"/>
      <c r="Q40" s="5" t="str">
        <f t="shared" si="11"/>
        <v/>
      </c>
      <c r="R40" s="2"/>
      <c r="S40" t="str">
        <f t="shared" si="9"/>
        <v/>
      </c>
      <c r="T40" s="10" t="str">
        <f t="shared" si="10"/>
        <v/>
      </c>
    </row>
    <row r="41" spans="1:20">
      <c r="A41" s="2"/>
      <c r="B41" s="3"/>
      <c r="C41" s="2" t="str">
        <f t="shared" si="6"/>
        <v/>
      </c>
      <c r="D41" s="2" t="str">
        <f t="shared" si="7"/>
        <v/>
      </c>
      <c r="E41" s="8"/>
      <c r="F41" s="2" t="str">
        <f t="shared" si="8"/>
        <v/>
      </c>
      <c r="G41" s="2"/>
      <c r="H41" s="2"/>
      <c r="I41" s="2"/>
      <c r="J41" s="4"/>
      <c r="K41" s="2"/>
      <c r="L41" s="2"/>
      <c r="M41" s="2"/>
      <c r="N41" s="2"/>
      <c r="O41" s="2"/>
      <c r="P41" s="2"/>
      <c r="Q41" s="5" t="str">
        <f t="shared" si="11"/>
        <v/>
      </c>
      <c r="R41" s="2"/>
      <c r="S41" t="str">
        <f t="shared" si="9"/>
        <v/>
      </c>
      <c r="T41" s="10" t="str">
        <f t="shared" si="10"/>
        <v/>
      </c>
    </row>
    <row r="42" spans="1:20">
      <c r="A42" s="2"/>
      <c r="B42" s="3"/>
      <c r="C42" s="2" t="str">
        <f t="shared" si="6"/>
        <v/>
      </c>
      <c r="D42" s="2" t="str">
        <f t="shared" si="7"/>
        <v/>
      </c>
      <c r="E42" s="8"/>
      <c r="F42" s="2" t="str">
        <f t="shared" si="8"/>
        <v/>
      </c>
      <c r="G42" s="2"/>
      <c r="H42" s="2"/>
      <c r="I42" s="2"/>
      <c r="J42" s="4"/>
      <c r="K42" s="2"/>
      <c r="L42" s="2"/>
      <c r="M42" s="2"/>
      <c r="N42" s="2"/>
      <c r="O42" s="2"/>
      <c r="P42" s="2"/>
      <c r="Q42" s="5" t="str">
        <f t="shared" si="11"/>
        <v/>
      </c>
      <c r="R42" s="2"/>
      <c r="S42" t="str">
        <f t="shared" si="9"/>
        <v/>
      </c>
      <c r="T42" s="10" t="str">
        <f t="shared" si="10"/>
        <v/>
      </c>
    </row>
    <row r="43" spans="1:20">
      <c r="A43" s="2"/>
      <c r="B43" s="3"/>
      <c r="C43" s="2" t="str">
        <f t="shared" si="6"/>
        <v/>
      </c>
      <c r="D43" s="2" t="str">
        <f t="shared" si="7"/>
        <v/>
      </c>
      <c r="E43" s="8"/>
      <c r="F43" s="2" t="str">
        <f t="shared" si="8"/>
        <v/>
      </c>
      <c r="G43" s="2"/>
      <c r="H43" s="2"/>
      <c r="I43" s="2"/>
      <c r="J43" s="4"/>
      <c r="K43" s="2"/>
      <c r="L43" s="2"/>
      <c r="M43" s="2"/>
      <c r="N43" s="2"/>
      <c r="O43" s="2"/>
      <c r="P43" s="2"/>
      <c r="Q43" s="5" t="str">
        <f t="shared" si="11"/>
        <v/>
      </c>
      <c r="R43" s="2"/>
      <c r="S43" t="str">
        <f t="shared" si="9"/>
        <v/>
      </c>
      <c r="T43" s="10" t="str">
        <f t="shared" si="10"/>
        <v/>
      </c>
    </row>
    <row r="44" spans="1:20">
      <c r="A44" s="2"/>
      <c r="B44" s="3"/>
      <c r="C44" s="2" t="str">
        <f t="shared" si="6"/>
        <v/>
      </c>
      <c r="D44" s="2" t="str">
        <f t="shared" si="7"/>
        <v/>
      </c>
      <c r="E44" s="8"/>
      <c r="F44" s="2" t="str">
        <f t="shared" si="8"/>
        <v/>
      </c>
      <c r="G44" s="2"/>
      <c r="H44" s="2"/>
      <c r="I44" s="2"/>
      <c r="J44" s="4"/>
      <c r="K44" s="2"/>
      <c r="L44" s="2"/>
      <c r="M44" s="2"/>
      <c r="N44" s="2"/>
      <c r="O44" s="2"/>
      <c r="P44" s="2"/>
      <c r="Q44" s="5" t="str">
        <f t="shared" si="11"/>
        <v/>
      </c>
      <c r="R44" s="2"/>
      <c r="S44" t="str">
        <f t="shared" si="9"/>
        <v/>
      </c>
      <c r="T44" s="10" t="str">
        <f t="shared" si="10"/>
        <v/>
      </c>
    </row>
    <row r="45" spans="1:20">
      <c r="A45" s="2"/>
      <c r="B45" s="3"/>
      <c r="C45" s="2" t="str">
        <f t="shared" si="6"/>
        <v/>
      </c>
      <c r="D45" s="2" t="str">
        <f t="shared" si="7"/>
        <v/>
      </c>
      <c r="E45" s="8"/>
      <c r="F45" s="2" t="str">
        <f t="shared" si="8"/>
        <v/>
      </c>
      <c r="G45" s="2"/>
      <c r="H45" s="2"/>
      <c r="I45" s="2"/>
      <c r="J45" s="4"/>
      <c r="K45" s="2"/>
      <c r="L45" s="2"/>
      <c r="M45" s="2"/>
      <c r="N45" s="2"/>
      <c r="O45" s="2"/>
      <c r="P45" s="2"/>
      <c r="Q45" s="5" t="str">
        <f t="shared" si="11"/>
        <v/>
      </c>
      <c r="R45" s="2"/>
      <c r="S45" t="str">
        <f t="shared" si="9"/>
        <v/>
      </c>
      <c r="T45" s="10" t="str">
        <f t="shared" si="10"/>
        <v/>
      </c>
    </row>
    <row r="46" spans="1:20">
      <c r="A46" s="2"/>
      <c r="B46" s="3"/>
      <c r="C46" s="2" t="str">
        <f t="shared" si="6"/>
        <v/>
      </c>
      <c r="D46" s="2" t="str">
        <f t="shared" si="7"/>
        <v/>
      </c>
      <c r="E46" s="8"/>
      <c r="F46" s="2" t="str">
        <f t="shared" si="8"/>
        <v/>
      </c>
      <c r="G46" s="2"/>
      <c r="H46" s="2"/>
      <c r="I46" s="2"/>
      <c r="J46" s="4"/>
      <c r="K46" s="2"/>
      <c r="L46" s="2"/>
      <c r="M46" s="2"/>
      <c r="N46" s="2"/>
      <c r="O46" s="2"/>
      <c r="P46" s="2"/>
      <c r="Q46" s="5" t="str">
        <f t="shared" si="11"/>
        <v/>
      </c>
      <c r="R46" s="2"/>
      <c r="S46" t="str">
        <f t="shared" si="9"/>
        <v/>
      </c>
      <c r="T46" s="10" t="str">
        <f t="shared" si="10"/>
        <v/>
      </c>
    </row>
    <row r="47" spans="1:20">
      <c r="A47" s="2"/>
      <c r="B47" s="3"/>
      <c r="C47" s="2" t="str">
        <f t="shared" si="6"/>
        <v/>
      </c>
      <c r="D47" s="2" t="str">
        <f t="shared" si="7"/>
        <v/>
      </c>
      <c r="E47" s="8"/>
      <c r="F47" s="2" t="str">
        <f t="shared" si="8"/>
        <v/>
      </c>
      <c r="G47" s="2"/>
      <c r="H47" s="2"/>
      <c r="I47" s="2"/>
      <c r="J47" s="4"/>
      <c r="K47" s="2"/>
      <c r="L47" s="2"/>
      <c r="M47" s="2"/>
      <c r="N47" s="2"/>
      <c r="O47" s="2"/>
      <c r="P47" s="2"/>
      <c r="Q47" s="5" t="str">
        <f t="shared" si="11"/>
        <v/>
      </c>
      <c r="R47" s="2"/>
      <c r="S47" t="str">
        <f t="shared" si="9"/>
        <v/>
      </c>
      <c r="T47" s="10" t="str">
        <f t="shared" si="10"/>
        <v/>
      </c>
    </row>
    <row r="48" spans="1:20">
      <c r="A48" s="2"/>
      <c r="B48" s="3"/>
      <c r="C48" s="2" t="str">
        <f t="shared" si="6"/>
        <v/>
      </c>
      <c r="D48" s="2" t="str">
        <f t="shared" si="7"/>
        <v/>
      </c>
      <c r="E48" s="8"/>
      <c r="F48" s="2" t="str">
        <f t="shared" si="8"/>
        <v/>
      </c>
      <c r="G48" s="2"/>
      <c r="H48" s="2"/>
      <c r="I48" s="2"/>
      <c r="J48" s="4"/>
      <c r="K48" s="2"/>
      <c r="L48" s="2"/>
      <c r="M48" s="2"/>
      <c r="N48" s="2"/>
      <c r="O48" s="2"/>
      <c r="P48" s="2"/>
      <c r="Q48" s="5" t="str">
        <f t="shared" si="11"/>
        <v/>
      </c>
      <c r="R48" s="2"/>
      <c r="S48" t="str">
        <f t="shared" si="9"/>
        <v/>
      </c>
      <c r="T48" s="10" t="str">
        <f t="shared" si="10"/>
        <v/>
      </c>
    </row>
    <row r="49" spans="1:20">
      <c r="A49" s="2"/>
      <c r="B49" s="3"/>
      <c r="C49" s="2" t="str">
        <f t="shared" si="6"/>
        <v/>
      </c>
      <c r="D49" s="2" t="str">
        <f t="shared" si="7"/>
        <v/>
      </c>
      <c r="E49" s="8"/>
      <c r="F49" s="2" t="str">
        <f t="shared" si="8"/>
        <v/>
      </c>
      <c r="G49" s="2"/>
      <c r="H49" s="2"/>
      <c r="I49" s="2"/>
      <c r="J49" s="4"/>
      <c r="K49" s="2"/>
      <c r="L49" s="2"/>
      <c r="M49" s="2"/>
      <c r="N49" s="2"/>
      <c r="O49" s="2"/>
      <c r="P49" s="2"/>
      <c r="Q49" s="5" t="str">
        <f t="shared" si="11"/>
        <v/>
      </c>
      <c r="R49" s="2"/>
      <c r="S49" t="str">
        <f t="shared" si="9"/>
        <v/>
      </c>
      <c r="T49" s="10" t="str">
        <f t="shared" si="10"/>
        <v/>
      </c>
    </row>
    <row r="50" spans="1:20">
      <c r="A50" s="2"/>
      <c r="B50" s="3"/>
      <c r="C50" s="2" t="str">
        <f t="shared" si="6"/>
        <v/>
      </c>
      <c r="D50" s="2" t="str">
        <f t="shared" si="7"/>
        <v/>
      </c>
      <c r="E50" s="8"/>
      <c r="F50" s="2" t="str">
        <f t="shared" si="8"/>
        <v/>
      </c>
      <c r="G50" s="2"/>
      <c r="H50" s="2"/>
      <c r="I50" s="2"/>
      <c r="J50" s="4"/>
      <c r="K50" s="2"/>
      <c r="L50" s="2"/>
      <c r="M50" s="2"/>
      <c r="N50" s="2"/>
      <c r="O50" s="2"/>
      <c r="P50" s="2"/>
      <c r="Q50" s="5" t="str">
        <f t="shared" si="11"/>
        <v/>
      </c>
      <c r="R50" s="2"/>
      <c r="S50" t="str">
        <f t="shared" si="9"/>
        <v/>
      </c>
      <c r="T50" s="10" t="str">
        <f t="shared" si="10"/>
        <v/>
      </c>
    </row>
    <row r="51" spans="1:20">
      <c r="A51" s="2"/>
      <c r="B51" s="3"/>
      <c r="C51" s="2" t="str">
        <f t="shared" si="6"/>
        <v/>
      </c>
      <c r="D51" s="2" t="str">
        <f t="shared" si="7"/>
        <v/>
      </c>
      <c r="E51" s="8"/>
      <c r="F51" s="2" t="str">
        <f t="shared" si="8"/>
        <v/>
      </c>
      <c r="G51" s="2"/>
      <c r="H51" s="2"/>
      <c r="I51" s="2"/>
      <c r="J51" s="4"/>
      <c r="K51" s="2"/>
      <c r="L51" s="2"/>
      <c r="M51" s="2"/>
      <c r="N51" s="2"/>
      <c r="O51" s="2"/>
      <c r="P51" s="2"/>
      <c r="Q51" s="5" t="str">
        <f t="shared" si="11"/>
        <v/>
      </c>
      <c r="R51" s="2"/>
      <c r="S51" t="str">
        <f t="shared" si="9"/>
        <v/>
      </c>
      <c r="T51" s="10" t="str">
        <f t="shared" si="10"/>
        <v/>
      </c>
    </row>
    <row r="52" spans="1:20">
      <c r="A52" s="2"/>
      <c r="B52" s="3"/>
      <c r="C52" s="2" t="str">
        <f t="shared" si="6"/>
        <v/>
      </c>
      <c r="D52" s="2" t="str">
        <f t="shared" si="7"/>
        <v/>
      </c>
      <c r="E52" s="8"/>
      <c r="F52" s="2" t="str">
        <f t="shared" si="8"/>
        <v/>
      </c>
      <c r="G52" s="2"/>
      <c r="H52" s="2"/>
      <c r="I52" s="2"/>
      <c r="J52" s="4"/>
      <c r="K52" s="2"/>
      <c r="L52" s="2"/>
      <c r="M52" s="2"/>
      <c r="N52" s="2"/>
      <c r="O52" s="2"/>
      <c r="P52" s="2"/>
      <c r="Q52" s="5" t="str">
        <f t="shared" si="11"/>
        <v/>
      </c>
      <c r="R52" s="2"/>
      <c r="S52" t="str">
        <f t="shared" si="9"/>
        <v/>
      </c>
      <c r="T52" s="10" t="str">
        <f t="shared" si="10"/>
        <v/>
      </c>
    </row>
    <row r="53" spans="1:20">
      <c r="A53" s="2"/>
      <c r="B53" s="3"/>
      <c r="C53" s="2" t="str">
        <f t="shared" si="6"/>
        <v/>
      </c>
      <c r="D53" s="2" t="str">
        <f t="shared" si="7"/>
        <v/>
      </c>
      <c r="E53" s="8"/>
      <c r="F53" s="2" t="str">
        <f t="shared" si="8"/>
        <v/>
      </c>
      <c r="G53" s="2"/>
      <c r="H53" s="2"/>
      <c r="I53" s="2"/>
      <c r="J53" s="4"/>
      <c r="K53" s="2"/>
      <c r="L53" s="2"/>
      <c r="M53" s="2"/>
      <c r="N53" s="2"/>
      <c r="O53" s="2"/>
      <c r="P53" s="2"/>
      <c r="Q53" s="5" t="str">
        <f t="shared" si="11"/>
        <v/>
      </c>
      <c r="R53" s="2"/>
      <c r="S53" t="str">
        <f t="shared" si="9"/>
        <v/>
      </c>
      <c r="T53" s="10" t="str">
        <f t="shared" si="10"/>
        <v/>
      </c>
    </row>
    <row r="54" spans="1:20">
      <c r="A54" s="2"/>
      <c r="B54" s="3"/>
      <c r="C54" s="2" t="str">
        <f t="shared" si="6"/>
        <v/>
      </c>
      <c r="D54" s="2" t="str">
        <f t="shared" si="7"/>
        <v/>
      </c>
      <c r="E54" s="8"/>
      <c r="F54" s="2" t="str">
        <f t="shared" si="8"/>
        <v/>
      </c>
      <c r="G54" s="2"/>
      <c r="H54" s="2"/>
      <c r="I54" s="2"/>
      <c r="J54" s="4"/>
      <c r="K54" s="2"/>
      <c r="L54" s="2"/>
      <c r="M54" s="2"/>
      <c r="N54" s="2"/>
      <c r="O54" s="2"/>
      <c r="P54" s="2"/>
      <c r="Q54" s="5" t="str">
        <f t="shared" si="11"/>
        <v/>
      </c>
      <c r="R54" s="2"/>
      <c r="S54" t="str">
        <f t="shared" si="9"/>
        <v/>
      </c>
      <c r="T54" s="10" t="str">
        <f t="shared" si="10"/>
        <v/>
      </c>
    </row>
    <row r="55" spans="1:20">
      <c r="A55" s="2"/>
      <c r="B55" s="3"/>
      <c r="C55" s="2" t="str">
        <f t="shared" si="6"/>
        <v/>
      </c>
      <c r="D55" s="2" t="str">
        <f t="shared" si="7"/>
        <v/>
      </c>
      <c r="E55" s="8"/>
      <c r="F55" s="2" t="str">
        <f t="shared" si="8"/>
        <v/>
      </c>
      <c r="G55" s="2"/>
      <c r="H55" s="2"/>
      <c r="I55" s="2"/>
      <c r="J55" s="4"/>
      <c r="K55" s="2"/>
      <c r="L55" s="2"/>
      <c r="M55" s="2"/>
      <c r="N55" s="2"/>
      <c r="O55" s="2"/>
      <c r="P55" s="2"/>
      <c r="Q55" s="5" t="str">
        <f t="shared" si="11"/>
        <v/>
      </c>
      <c r="R55" s="2"/>
      <c r="S55" t="str">
        <f t="shared" si="9"/>
        <v/>
      </c>
      <c r="T55" s="10" t="str">
        <f t="shared" si="10"/>
        <v/>
      </c>
    </row>
    <row r="56" spans="1:20">
      <c r="A56" s="2"/>
      <c r="B56" s="3"/>
      <c r="C56" s="2" t="str">
        <f t="shared" si="6"/>
        <v/>
      </c>
      <c r="D56" s="2" t="str">
        <f t="shared" si="7"/>
        <v/>
      </c>
      <c r="E56" s="8"/>
      <c r="F56" s="2" t="str">
        <f t="shared" si="8"/>
        <v/>
      </c>
      <c r="G56" s="2"/>
      <c r="H56" s="2"/>
      <c r="I56" s="2"/>
      <c r="J56" s="4"/>
      <c r="K56" s="2"/>
      <c r="L56" s="2"/>
      <c r="M56" s="2"/>
      <c r="N56" s="2"/>
      <c r="O56" s="2"/>
      <c r="P56" s="2"/>
      <c r="Q56" s="5" t="str">
        <f t="shared" si="11"/>
        <v/>
      </c>
      <c r="R56" s="2"/>
      <c r="S56" t="str">
        <f t="shared" si="9"/>
        <v/>
      </c>
      <c r="T56" s="10" t="str">
        <f t="shared" si="10"/>
        <v/>
      </c>
    </row>
    <row r="57" spans="1:20">
      <c r="A57" s="2"/>
      <c r="B57" s="3"/>
      <c r="C57" s="2" t="str">
        <f t="shared" si="6"/>
        <v/>
      </c>
      <c r="D57" s="2" t="str">
        <f t="shared" si="7"/>
        <v/>
      </c>
      <c r="E57" s="8"/>
      <c r="F57" s="2" t="str">
        <f t="shared" si="8"/>
        <v/>
      </c>
      <c r="G57" s="2"/>
      <c r="H57" s="2"/>
      <c r="I57" s="2"/>
      <c r="J57" s="4"/>
      <c r="K57" s="2"/>
      <c r="L57" s="2"/>
      <c r="M57" s="2"/>
      <c r="N57" s="2"/>
      <c r="O57" s="2"/>
      <c r="P57" s="2"/>
      <c r="Q57" s="5" t="str">
        <f t="shared" si="11"/>
        <v/>
      </c>
      <c r="R57" s="2"/>
      <c r="S57" t="str">
        <f t="shared" si="9"/>
        <v/>
      </c>
      <c r="T57" s="10" t="str">
        <f t="shared" si="10"/>
        <v/>
      </c>
    </row>
    <row r="58" spans="1:20">
      <c r="A58" s="2"/>
      <c r="B58" s="3"/>
      <c r="C58" s="2" t="str">
        <f t="shared" si="6"/>
        <v/>
      </c>
      <c r="D58" s="2" t="str">
        <f t="shared" si="7"/>
        <v/>
      </c>
      <c r="E58" s="8"/>
      <c r="F58" s="2" t="str">
        <f t="shared" si="8"/>
        <v/>
      </c>
      <c r="G58" s="2"/>
      <c r="H58" s="2"/>
      <c r="I58" s="2"/>
      <c r="J58" s="4"/>
      <c r="K58" s="2"/>
      <c r="L58" s="2"/>
      <c r="M58" s="2"/>
      <c r="N58" s="2"/>
      <c r="O58" s="2"/>
      <c r="P58" s="2"/>
      <c r="Q58" s="5" t="str">
        <f t="shared" si="11"/>
        <v/>
      </c>
      <c r="R58" s="2"/>
      <c r="S58" t="str">
        <f t="shared" si="9"/>
        <v/>
      </c>
      <c r="T58" s="10" t="str">
        <f t="shared" si="10"/>
        <v/>
      </c>
    </row>
    <row r="59" spans="1:20">
      <c r="A59" s="2"/>
      <c r="B59" s="3"/>
      <c r="C59" s="2" t="str">
        <f t="shared" si="6"/>
        <v/>
      </c>
      <c r="D59" s="2" t="str">
        <f t="shared" si="7"/>
        <v/>
      </c>
      <c r="E59" s="8"/>
      <c r="F59" s="2" t="str">
        <f t="shared" si="8"/>
        <v/>
      </c>
      <c r="G59" s="2"/>
      <c r="H59" s="2"/>
      <c r="I59" s="2"/>
      <c r="J59" s="4"/>
      <c r="K59" s="2"/>
      <c r="L59" s="2"/>
      <c r="M59" s="2"/>
      <c r="N59" s="2"/>
      <c r="O59" s="2"/>
      <c r="P59" s="2"/>
      <c r="Q59" s="5" t="str">
        <f t="shared" si="11"/>
        <v/>
      </c>
      <c r="R59" s="2"/>
      <c r="S59" t="str">
        <f t="shared" si="9"/>
        <v/>
      </c>
      <c r="T59" s="10" t="str">
        <f t="shared" si="10"/>
        <v/>
      </c>
    </row>
    <row r="60" spans="1:20">
      <c r="A60" s="2"/>
      <c r="B60" s="3"/>
      <c r="C60" s="2" t="str">
        <f t="shared" si="6"/>
        <v/>
      </c>
      <c r="D60" s="2" t="str">
        <f t="shared" si="7"/>
        <v/>
      </c>
      <c r="E60" s="8"/>
      <c r="F60" s="2" t="str">
        <f t="shared" si="8"/>
        <v/>
      </c>
      <c r="G60" s="2"/>
      <c r="H60" s="2"/>
      <c r="I60" s="2"/>
      <c r="J60" s="4"/>
      <c r="K60" s="2"/>
      <c r="L60" s="2"/>
      <c r="M60" s="2"/>
      <c r="N60" s="2"/>
      <c r="O60" s="2"/>
      <c r="P60" s="2"/>
      <c r="Q60" s="5" t="str">
        <f t="shared" si="11"/>
        <v/>
      </c>
      <c r="R60" s="2"/>
      <c r="S60" t="str">
        <f t="shared" si="9"/>
        <v/>
      </c>
      <c r="T60" s="10" t="str">
        <f t="shared" si="10"/>
        <v/>
      </c>
    </row>
    <row r="61" spans="1:20">
      <c r="A61" s="2"/>
      <c r="B61" s="3"/>
      <c r="C61" s="2" t="str">
        <f t="shared" si="6"/>
        <v/>
      </c>
      <c r="D61" s="2" t="str">
        <f t="shared" si="7"/>
        <v/>
      </c>
      <c r="E61" s="8"/>
      <c r="F61" s="2" t="str">
        <f t="shared" si="8"/>
        <v/>
      </c>
      <c r="G61" s="2"/>
      <c r="H61" s="2"/>
      <c r="I61" s="2"/>
      <c r="J61" s="4"/>
      <c r="K61" s="2"/>
      <c r="L61" s="2"/>
      <c r="M61" s="2"/>
      <c r="N61" s="2"/>
      <c r="O61" s="2"/>
      <c r="P61" s="2"/>
      <c r="Q61" s="5" t="str">
        <f t="shared" si="11"/>
        <v/>
      </c>
      <c r="R61" s="2"/>
      <c r="S61" t="str">
        <f t="shared" si="9"/>
        <v/>
      </c>
      <c r="T61" s="10" t="str">
        <f t="shared" si="10"/>
        <v/>
      </c>
    </row>
    <row r="62" spans="1:20">
      <c r="A62" s="2"/>
      <c r="B62" s="3"/>
      <c r="C62" s="2" t="str">
        <f t="shared" si="6"/>
        <v/>
      </c>
      <c r="D62" s="2" t="str">
        <f t="shared" si="7"/>
        <v/>
      </c>
      <c r="E62" s="8"/>
      <c r="F62" s="2" t="str">
        <f t="shared" si="8"/>
        <v/>
      </c>
      <c r="G62" s="2"/>
      <c r="H62" s="2"/>
      <c r="I62" s="2"/>
      <c r="J62" s="4"/>
      <c r="K62" s="2"/>
      <c r="L62" s="2"/>
      <c r="M62" s="2"/>
      <c r="N62" s="2"/>
      <c r="O62" s="2"/>
      <c r="P62" s="2"/>
      <c r="Q62" s="5" t="str">
        <f t="shared" si="11"/>
        <v/>
      </c>
      <c r="R62" s="2"/>
      <c r="S62" t="str">
        <f t="shared" si="9"/>
        <v/>
      </c>
      <c r="T62" s="10" t="str">
        <f t="shared" si="10"/>
        <v/>
      </c>
    </row>
    <row r="63" spans="1:20">
      <c r="A63" s="2"/>
      <c r="B63" s="3"/>
      <c r="C63" s="2" t="str">
        <f t="shared" si="6"/>
        <v/>
      </c>
      <c r="D63" s="2" t="str">
        <f t="shared" si="7"/>
        <v/>
      </c>
      <c r="E63" s="8"/>
      <c r="F63" s="2" t="str">
        <f t="shared" si="8"/>
        <v/>
      </c>
      <c r="G63" s="2"/>
      <c r="H63" s="2"/>
      <c r="I63" s="2"/>
      <c r="J63" s="4"/>
      <c r="K63" s="2"/>
      <c r="L63" s="2"/>
      <c r="M63" s="2"/>
      <c r="N63" s="2"/>
      <c r="O63" s="2"/>
      <c r="P63" s="2"/>
      <c r="Q63" s="5" t="str">
        <f t="shared" si="11"/>
        <v/>
      </c>
      <c r="R63" s="2"/>
      <c r="S63" t="str">
        <f t="shared" si="9"/>
        <v/>
      </c>
      <c r="T63" s="10" t="str">
        <f t="shared" si="10"/>
        <v/>
      </c>
    </row>
    <row r="64" spans="1:20">
      <c r="A64" s="2"/>
      <c r="B64" s="3"/>
      <c r="C64" s="2" t="str">
        <f t="shared" si="6"/>
        <v/>
      </c>
      <c r="D64" s="2" t="str">
        <f t="shared" si="7"/>
        <v/>
      </c>
      <c r="E64" s="8"/>
      <c r="F64" s="2" t="str">
        <f t="shared" si="8"/>
        <v/>
      </c>
      <c r="G64" s="2"/>
      <c r="H64" s="2"/>
      <c r="I64" s="2"/>
      <c r="J64" s="4"/>
      <c r="K64" s="2"/>
      <c r="L64" s="2"/>
      <c r="M64" s="2"/>
      <c r="N64" s="2"/>
      <c r="O64" s="2"/>
      <c r="P64" s="2"/>
      <c r="Q64" s="5" t="str">
        <f t="shared" si="11"/>
        <v/>
      </c>
      <c r="R64" s="2"/>
      <c r="S64" t="str">
        <f t="shared" si="9"/>
        <v/>
      </c>
      <c r="T64" s="10" t="str">
        <f t="shared" si="10"/>
        <v/>
      </c>
    </row>
    <row r="65" spans="1:20">
      <c r="A65" s="2"/>
      <c r="B65" s="3"/>
      <c r="C65" s="2" t="str">
        <f t="shared" si="6"/>
        <v/>
      </c>
      <c r="D65" s="2" t="str">
        <f t="shared" si="7"/>
        <v/>
      </c>
      <c r="E65" s="8"/>
      <c r="F65" s="2" t="str">
        <f t="shared" si="8"/>
        <v/>
      </c>
      <c r="G65" s="2"/>
      <c r="H65" s="2"/>
      <c r="I65" s="2"/>
      <c r="J65" s="4"/>
      <c r="K65" s="2"/>
      <c r="L65" s="2"/>
      <c r="M65" s="2"/>
      <c r="N65" s="2"/>
      <c r="O65" s="2"/>
      <c r="P65" s="2"/>
      <c r="Q65" s="5" t="str">
        <f t="shared" si="11"/>
        <v/>
      </c>
      <c r="R65" s="2"/>
      <c r="S65" t="str">
        <f t="shared" si="9"/>
        <v/>
      </c>
      <c r="T65" s="10" t="str">
        <f t="shared" si="10"/>
        <v/>
      </c>
    </row>
    <row r="66" spans="1:20">
      <c r="A66" s="2"/>
      <c r="B66" s="3"/>
      <c r="C66" s="2" t="str">
        <f t="shared" ref="C66:C97" si="12">IF(B66="","",YEAR(B66))</f>
        <v/>
      </c>
      <c r="D66" s="2" t="str">
        <f t="shared" ref="D66:D97" si="13">IF(B66="","",CHOOSE(MONTH(B66),"Január","Február","Marec","Apríl","Máj","Jún","Júl","August","September","Október","November","December"))</f>
        <v/>
      </c>
      <c r="E66" s="8"/>
      <c r="F66" s="2" t="str">
        <f t="shared" ref="F66:F97" si="14">IF(B66="","",MONTH(B66))</f>
        <v/>
      </c>
      <c r="G66" s="2"/>
      <c r="H66" s="2"/>
      <c r="I66" s="2"/>
      <c r="J66" s="4"/>
      <c r="K66" s="2"/>
      <c r="L66" s="2"/>
      <c r="M66" s="2"/>
      <c r="N66" s="2"/>
      <c r="O66" s="2"/>
      <c r="P66" s="2"/>
      <c r="Q66" s="5" t="str">
        <f t="shared" si="11"/>
        <v/>
      </c>
      <c r="R66" s="2"/>
      <c r="S66" t="str">
        <f t="shared" ref="S66:S97" si="15">IF(B66="","",IF(L66="Absolvovaný","Absolvovaný",IF(L66="Zrušený","Zrušený","Plánovaný")))</f>
        <v/>
      </c>
      <c r="T66" s="10" t="str">
        <f t="shared" ref="T66:T97" si="16">IF(Q66="","",Q66/7)</f>
        <v/>
      </c>
    </row>
    <row r="67" spans="1:20">
      <c r="A67" s="2"/>
      <c r="B67" s="3"/>
      <c r="C67" s="2" t="str">
        <f t="shared" si="12"/>
        <v/>
      </c>
      <c r="D67" s="2" t="str">
        <f t="shared" si="13"/>
        <v/>
      </c>
      <c r="E67" s="8"/>
      <c r="F67" s="2" t="str">
        <f t="shared" si="14"/>
        <v/>
      </c>
      <c r="G67" s="2"/>
      <c r="H67" s="2"/>
      <c r="I67" s="2"/>
      <c r="J67" s="4"/>
      <c r="K67" s="2"/>
      <c r="L67" s="2"/>
      <c r="M67" s="2"/>
      <c r="N67" s="2"/>
      <c r="O67" s="2"/>
      <c r="P67" s="2"/>
      <c r="Q67" s="5" t="str">
        <f t="shared" ref="Q67:Q98" si="17">IF(OR(B67="",B66=""),"",B67-B66)</f>
        <v/>
      </c>
      <c r="R67" s="2"/>
      <c r="S67" t="str">
        <f t="shared" si="15"/>
        <v/>
      </c>
      <c r="T67" s="10" t="str">
        <f t="shared" si="16"/>
        <v/>
      </c>
    </row>
    <row r="68" spans="1:20">
      <c r="A68" s="2"/>
      <c r="B68" s="3"/>
      <c r="C68" s="2" t="str">
        <f t="shared" si="12"/>
        <v/>
      </c>
      <c r="D68" s="2" t="str">
        <f t="shared" si="13"/>
        <v/>
      </c>
      <c r="E68" s="8"/>
      <c r="F68" s="2" t="str">
        <f t="shared" si="14"/>
        <v/>
      </c>
      <c r="G68" s="2"/>
      <c r="H68" s="2"/>
      <c r="I68" s="2"/>
      <c r="J68" s="4"/>
      <c r="K68" s="2"/>
      <c r="L68" s="2"/>
      <c r="M68" s="2"/>
      <c r="N68" s="2"/>
      <c r="O68" s="2"/>
      <c r="P68" s="2"/>
      <c r="Q68" s="5" t="str">
        <f t="shared" si="17"/>
        <v/>
      </c>
      <c r="R68" s="2"/>
      <c r="S68" t="str">
        <f t="shared" si="15"/>
        <v/>
      </c>
      <c r="T68" s="10" t="str">
        <f t="shared" si="16"/>
        <v/>
      </c>
    </row>
    <row r="69" spans="1:20">
      <c r="A69" s="2"/>
      <c r="B69" s="3"/>
      <c r="C69" s="2" t="str">
        <f t="shared" si="12"/>
        <v/>
      </c>
      <c r="D69" s="2" t="str">
        <f t="shared" si="13"/>
        <v/>
      </c>
      <c r="E69" s="8"/>
      <c r="F69" s="2" t="str">
        <f t="shared" si="14"/>
        <v/>
      </c>
      <c r="G69" s="2"/>
      <c r="H69" s="2"/>
      <c r="I69" s="2"/>
      <c r="J69" s="4"/>
      <c r="K69" s="2"/>
      <c r="L69" s="2"/>
      <c r="M69" s="2"/>
      <c r="N69" s="2"/>
      <c r="O69" s="2"/>
      <c r="P69" s="2"/>
      <c r="Q69" s="5" t="str">
        <f t="shared" si="17"/>
        <v/>
      </c>
      <c r="R69" s="2"/>
      <c r="S69" t="str">
        <f t="shared" si="15"/>
        <v/>
      </c>
      <c r="T69" s="10" t="str">
        <f t="shared" si="16"/>
        <v/>
      </c>
    </row>
    <row r="70" spans="1:20">
      <c r="A70" s="2"/>
      <c r="B70" s="3"/>
      <c r="C70" s="2" t="str">
        <f t="shared" si="12"/>
        <v/>
      </c>
      <c r="D70" s="2" t="str">
        <f t="shared" si="13"/>
        <v/>
      </c>
      <c r="E70" s="8"/>
      <c r="F70" s="2" t="str">
        <f t="shared" si="14"/>
        <v/>
      </c>
      <c r="G70" s="2"/>
      <c r="H70" s="2"/>
      <c r="I70" s="2"/>
      <c r="J70" s="4"/>
      <c r="K70" s="2"/>
      <c r="L70" s="2"/>
      <c r="M70" s="2"/>
      <c r="N70" s="2"/>
      <c r="O70" s="2"/>
      <c r="P70" s="2"/>
      <c r="Q70" s="5" t="str">
        <f t="shared" si="17"/>
        <v/>
      </c>
      <c r="R70" s="2"/>
      <c r="S70" t="str">
        <f t="shared" si="15"/>
        <v/>
      </c>
      <c r="T70" s="10" t="str">
        <f t="shared" si="16"/>
        <v/>
      </c>
    </row>
    <row r="71" spans="1:20">
      <c r="A71" s="2"/>
      <c r="B71" s="3"/>
      <c r="C71" s="2" t="str">
        <f t="shared" si="12"/>
        <v/>
      </c>
      <c r="D71" s="2" t="str">
        <f t="shared" si="13"/>
        <v/>
      </c>
      <c r="E71" s="8"/>
      <c r="F71" s="2" t="str">
        <f t="shared" si="14"/>
        <v/>
      </c>
      <c r="G71" s="2"/>
      <c r="H71" s="2"/>
      <c r="I71" s="2"/>
      <c r="J71" s="4"/>
      <c r="K71" s="2"/>
      <c r="L71" s="2"/>
      <c r="M71" s="2"/>
      <c r="N71" s="2"/>
      <c r="O71" s="2"/>
      <c r="P71" s="2"/>
      <c r="Q71" s="5" t="str">
        <f t="shared" si="17"/>
        <v/>
      </c>
      <c r="R71" s="2"/>
      <c r="S71" t="str">
        <f t="shared" si="15"/>
        <v/>
      </c>
      <c r="T71" s="10" t="str">
        <f t="shared" si="16"/>
        <v/>
      </c>
    </row>
    <row r="72" spans="1:20">
      <c r="A72" s="2"/>
      <c r="B72" s="3"/>
      <c r="C72" s="2" t="str">
        <f t="shared" si="12"/>
        <v/>
      </c>
      <c r="D72" s="2" t="str">
        <f t="shared" si="13"/>
        <v/>
      </c>
      <c r="E72" s="8"/>
      <c r="F72" s="2" t="str">
        <f t="shared" si="14"/>
        <v/>
      </c>
      <c r="G72" s="2"/>
      <c r="H72" s="2"/>
      <c r="I72" s="2"/>
      <c r="J72" s="4"/>
      <c r="K72" s="2"/>
      <c r="L72" s="2"/>
      <c r="M72" s="2"/>
      <c r="N72" s="2"/>
      <c r="O72" s="2"/>
      <c r="P72" s="2"/>
      <c r="Q72" s="5" t="str">
        <f t="shared" si="17"/>
        <v/>
      </c>
      <c r="R72" s="2"/>
      <c r="S72" t="str">
        <f t="shared" si="15"/>
        <v/>
      </c>
      <c r="T72" s="10" t="str">
        <f t="shared" si="16"/>
        <v/>
      </c>
    </row>
    <row r="73" spans="1:20">
      <c r="A73" s="2"/>
      <c r="B73" s="3"/>
      <c r="C73" s="2" t="str">
        <f t="shared" si="12"/>
        <v/>
      </c>
      <c r="D73" s="2" t="str">
        <f t="shared" si="13"/>
        <v/>
      </c>
      <c r="E73" s="8"/>
      <c r="F73" s="2" t="str">
        <f t="shared" si="14"/>
        <v/>
      </c>
      <c r="G73" s="2"/>
      <c r="H73" s="2"/>
      <c r="I73" s="2"/>
      <c r="J73" s="4"/>
      <c r="K73" s="2"/>
      <c r="L73" s="2"/>
      <c r="M73" s="2"/>
      <c r="N73" s="2"/>
      <c r="O73" s="2"/>
      <c r="P73" s="2"/>
      <c r="Q73" s="5" t="str">
        <f t="shared" si="17"/>
        <v/>
      </c>
      <c r="R73" s="2"/>
      <c r="S73" t="str">
        <f t="shared" si="15"/>
        <v/>
      </c>
      <c r="T73" s="10" t="str">
        <f t="shared" si="16"/>
        <v/>
      </c>
    </row>
    <row r="74" spans="1:20">
      <c r="A74" s="2"/>
      <c r="B74" s="3"/>
      <c r="C74" s="2" t="str">
        <f t="shared" si="12"/>
        <v/>
      </c>
      <c r="D74" s="2" t="str">
        <f t="shared" si="13"/>
        <v/>
      </c>
      <c r="E74" s="8"/>
      <c r="F74" s="2" t="str">
        <f t="shared" si="14"/>
        <v/>
      </c>
      <c r="G74" s="2"/>
      <c r="H74" s="2"/>
      <c r="I74" s="2"/>
      <c r="J74" s="4"/>
      <c r="K74" s="2"/>
      <c r="L74" s="2"/>
      <c r="M74" s="2"/>
      <c r="N74" s="2"/>
      <c r="O74" s="2"/>
      <c r="P74" s="2"/>
      <c r="Q74" s="5" t="str">
        <f t="shared" si="17"/>
        <v/>
      </c>
      <c r="R74" s="2"/>
      <c r="S74" t="str">
        <f t="shared" si="15"/>
        <v/>
      </c>
      <c r="T74" s="10" t="str">
        <f t="shared" si="16"/>
        <v/>
      </c>
    </row>
    <row r="75" spans="1:20">
      <c r="A75" s="2"/>
      <c r="B75" s="3"/>
      <c r="C75" s="2" t="str">
        <f t="shared" si="12"/>
        <v/>
      </c>
      <c r="D75" s="2" t="str">
        <f t="shared" si="13"/>
        <v/>
      </c>
      <c r="E75" s="8"/>
      <c r="F75" s="2" t="str">
        <f t="shared" si="14"/>
        <v/>
      </c>
      <c r="G75" s="2"/>
      <c r="H75" s="2"/>
      <c r="I75" s="2"/>
      <c r="J75" s="4"/>
      <c r="K75" s="2"/>
      <c r="L75" s="2"/>
      <c r="M75" s="2"/>
      <c r="N75" s="2"/>
      <c r="O75" s="2"/>
      <c r="P75" s="2"/>
      <c r="Q75" s="5" t="str">
        <f t="shared" si="17"/>
        <v/>
      </c>
      <c r="R75" s="2"/>
      <c r="S75" t="str">
        <f t="shared" si="15"/>
        <v/>
      </c>
      <c r="T75" s="10" t="str">
        <f t="shared" si="16"/>
        <v/>
      </c>
    </row>
    <row r="76" spans="1:20">
      <c r="A76" s="2"/>
      <c r="B76" s="3"/>
      <c r="C76" s="2" t="str">
        <f t="shared" si="12"/>
        <v/>
      </c>
      <c r="D76" s="2" t="str">
        <f t="shared" si="13"/>
        <v/>
      </c>
      <c r="E76" s="8"/>
      <c r="F76" s="2" t="str">
        <f t="shared" si="14"/>
        <v/>
      </c>
      <c r="G76" s="2"/>
      <c r="H76" s="2"/>
      <c r="I76" s="2"/>
      <c r="J76" s="4"/>
      <c r="K76" s="2"/>
      <c r="L76" s="2"/>
      <c r="M76" s="2"/>
      <c r="N76" s="2"/>
      <c r="O76" s="2"/>
      <c r="P76" s="2"/>
      <c r="Q76" s="5" t="str">
        <f t="shared" si="17"/>
        <v/>
      </c>
      <c r="R76" s="2"/>
      <c r="S76" t="str">
        <f t="shared" si="15"/>
        <v/>
      </c>
      <c r="T76" s="10" t="str">
        <f t="shared" si="16"/>
        <v/>
      </c>
    </row>
    <row r="77" spans="1:20">
      <c r="A77" s="2"/>
      <c r="B77" s="3"/>
      <c r="C77" s="2" t="str">
        <f t="shared" si="12"/>
        <v/>
      </c>
      <c r="D77" s="2" t="str">
        <f t="shared" si="13"/>
        <v/>
      </c>
      <c r="E77" s="8"/>
      <c r="F77" s="2" t="str">
        <f t="shared" si="14"/>
        <v/>
      </c>
      <c r="G77" s="2"/>
      <c r="H77" s="2"/>
      <c r="I77" s="2"/>
      <c r="J77" s="4"/>
      <c r="K77" s="2"/>
      <c r="L77" s="2"/>
      <c r="M77" s="2"/>
      <c r="N77" s="2"/>
      <c r="O77" s="2"/>
      <c r="P77" s="2"/>
      <c r="Q77" s="5" t="str">
        <f t="shared" si="17"/>
        <v/>
      </c>
      <c r="R77" s="2"/>
      <c r="S77" t="str">
        <f t="shared" si="15"/>
        <v/>
      </c>
      <c r="T77" s="10" t="str">
        <f t="shared" si="16"/>
        <v/>
      </c>
    </row>
    <row r="78" spans="1:20">
      <c r="A78" s="2"/>
      <c r="B78" s="3"/>
      <c r="C78" s="2" t="str">
        <f t="shared" si="12"/>
        <v/>
      </c>
      <c r="D78" s="2" t="str">
        <f t="shared" si="13"/>
        <v/>
      </c>
      <c r="E78" s="8"/>
      <c r="F78" s="2" t="str">
        <f t="shared" si="14"/>
        <v/>
      </c>
      <c r="G78" s="2"/>
      <c r="H78" s="2"/>
      <c r="I78" s="2"/>
      <c r="J78" s="4"/>
      <c r="K78" s="2"/>
      <c r="L78" s="2"/>
      <c r="M78" s="2"/>
      <c r="N78" s="2"/>
      <c r="O78" s="2"/>
      <c r="P78" s="2"/>
      <c r="Q78" s="5" t="str">
        <f t="shared" si="17"/>
        <v/>
      </c>
      <c r="R78" s="2"/>
      <c r="S78" t="str">
        <f t="shared" si="15"/>
        <v/>
      </c>
      <c r="T78" s="10" t="str">
        <f t="shared" si="16"/>
        <v/>
      </c>
    </row>
    <row r="79" spans="1:20">
      <c r="A79" s="2"/>
      <c r="B79" s="3"/>
      <c r="C79" s="2" t="str">
        <f t="shared" si="12"/>
        <v/>
      </c>
      <c r="D79" s="2" t="str">
        <f t="shared" si="13"/>
        <v/>
      </c>
      <c r="E79" s="8"/>
      <c r="F79" s="2" t="str">
        <f t="shared" si="14"/>
        <v/>
      </c>
      <c r="G79" s="2"/>
      <c r="H79" s="2"/>
      <c r="I79" s="2"/>
      <c r="J79" s="4"/>
      <c r="K79" s="2"/>
      <c r="L79" s="2"/>
      <c r="M79" s="2"/>
      <c r="N79" s="2"/>
      <c r="O79" s="2"/>
      <c r="P79" s="2"/>
      <c r="Q79" s="5" t="str">
        <f t="shared" si="17"/>
        <v/>
      </c>
      <c r="R79" s="2"/>
      <c r="S79" t="str">
        <f t="shared" si="15"/>
        <v/>
      </c>
      <c r="T79" s="10" t="str">
        <f t="shared" si="16"/>
        <v/>
      </c>
    </row>
    <row r="80" spans="1:20">
      <c r="A80" s="2"/>
      <c r="B80" s="3"/>
      <c r="C80" s="2" t="str">
        <f t="shared" si="12"/>
        <v/>
      </c>
      <c r="D80" s="2" t="str">
        <f t="shared" si="13"/>
        <v/>
      </c>
      <c r="E80" s="8"/>
      <c r="F80" s="2" t="str">
        <f t="shared" si="14"/>
        <v/>
      </c>
      <c r="G80" s="2"/>
      <c r="H80" s="2"/>
      <c r="I80" s="2"/>
      <c r="J80" s="4"/>
      <c r="K80" s="2"/>
      <c r="L80" s="2"/>
      <c r="M80" s="2"/>
      <c r="N80" s="2"/>
      <c r="O80" s="2"/>
      <c r="P80" s="2"/>
      <c r="Q80" s="5" t="str">
        <f t="shared" si="17"/>
        <v/>
      </c>
      <c r="R80" s="2"/>
      <c r="S80" t="str">
        <f t="shared" si="15"/>
        <v/>
      </c>
      <c r="T80" s="10" t="str">
        <f t="shared" si="16"/>
        <v/>
      </c>
    </row>
    <row r="81" spans="1:20">
      <c r="A81" s="2"/>
      <c r="B81" s="3"/>
      <c r="C81" s="2" t="str">
        <f t="shared" si="12"/>
        <v/>
      </c>
      <c r="D81" s="2" t="str">
        <f t="shared" si="13"/>
        <v/>
      </c>
      <c r="E81" s="8"/>
      <c r="F81" s="2" t="str">
        <f t="shared" si="14"/>
        <v/>
      </c>
      <c r="G81" s="2"/>
      <c r="H81" s="2"/>
      <c r="I81" s="2"/>
      <c r="J81" s="4"/>
      <c r="K81" s="2"/>
      <c r="L81" s="2"/>
      <c r="M81" s="2"/>
      <c r="N81" s="2"/>
      <c r="O81" s="2"/>
      <c r="P81" s="2"/>
      <c r="Q81" s="5" t="str">
        <f t="shared" si="17"/>
        <v/>
      </c>
      <c r="R81" s="2"/>
      <c r="S81" t="str">
        <f t="shared" si="15"/>
        <v/>
      </c>
      <c r="T81" s="10" t="str">
        <f t="shared" si="16"/>
        <v/>
      </c>
    </row>
    <row r="82" spans="1:20">
      <c r="A82" s="2"/>
      <c r="B82" s="3"/>
      <c r="C82" s="2" t="str">
        <f t="shared" si="12"/>
        <v/>
      </c>
      <c r="D82" s="2" t="str">
        <f t="shared" si="13"/>
        <v/>
      </c>
      <c r="E82" s="8"/>
      <c r="F82" s="2" t="str">
        <f t="shared" si="14"/>
        <v/>
      </c>
      <c r="G82" s="2"/>
      <c r="H82" s="2"/>
      <c r="I82" s="2"/>
      <c r="J82" s="4"/>
      <c r="K82" s="2"/>
      <c r="L82" s="2"/>
      <c r="M82" s="2"/>
      <c r="N82" s="2"/>
      <c r="O82" s="2"/>
      <c r="P82" s="2"/>
      <c r="Q82" s="5" t="str">
        <f t="shared" si="17"/>
        <v/>
      </c>
      <c r="R82" s="2"/>
      <c r="S82" t="str">
        <f t="shared" si="15"/>
        <v/>
      </c>
      <c r="T82" s="10" t="str">
        <f t="shared" si="16"/>
        <v/>
      </c>
    </row>
    <row r="83" spans="1:20">
      <c r="A83" s="2"/>
      <c r="B83" s="3"/>
      <c r="C83" s="2" t="str">
        <f t="shared" si="12"/>
        <v/>
      </c>
      <c r="D83" s="2" t="str">
        <f t="shared" si="13"/>
        <v/>
      </c>
      <c r="E83" s="8"/>
      <c r="F83" s="2" t="str">
        <f t="shared" si="14"/>
        <v/>
      </c>
      <c r="G83" s="2"/>
      <c r="H83" s="2"/>
      <c r="I83" s="2"/>
      <c r="J83" s="4"/>
      <c r="K83" s="2"/>
      <c r="L83" s="2"/>
      <c r="M83" s="2"/>
      <c r="N83" s="2"/>
      <c r="O83" s="2"/>
      <c r="P83" s="2"/>
      <c r="Q83" s="5" t="str">
        <f t="shared" si="17"/>
        <v/>
      </c>
      <c r="R83" s="2"/>
      <c r="S83" t="str">
        <f t="shared" si="15"/>
        <v/>
      </c>
      <c r="T83" s="10" t="str">
        <f t="shared" si="16"/>
        <v/>
      </c>
    </row>
    <row r="84" spans="1:20">
      <c r="A84" s="2"/>
      <c r="B84" s="3"/>
      <c r="C84" s="2" t="str">
        <f t="shared" si="12"/>
        <v/>
      </c>
      <c r="D84" s="2" t="str">
        <f t="shared" si="13"/>
        <v/>
      </c>
      <c r="E84" s="8"/>
      <c r="F84" s="2" t="str">
        <f t="shared" si="14"/>
        <v/>
      </c>
      <c r="G84" s="2"/>
      <c r="H84" s="2"/>
      <c r="I84" s="2"/>
      <c r="J84" s="4"/>
      <c r="K84" s="2"/>
      <c r="L84" s="2"/>
      <c r="M84" s="2"/>
      <c r="N84" s="2"/>
      <c r="O84" s="2"/>
      <c r="P84" s="2"/>
      <c r="Q84" s="5" t="str">
        <f t="shared" si="17"/>
        <v/>
      </c>
      <c r="R84" s="2"/>
      <c r="S84" t="str">
        <f t="shared" si="15"/>
        <v/>
      </c>
      <c r="T84" s="10" t="str">
        <f t="shared" si="16"/>
        <v/>
      </c>
    </row>
    <row r="85" spans="1:20">
      <c r="A85" s="2"/>
      <c r="B85" s="3"/>
      <c r="C85" s="2" t="str">
        <f t="shared" si="12"/>
        <v/>
      </c>
      <c r="D85" s="2" t="str">
        <f t="shared" si="13"/>
        <v/>
      </c>
      <c r="E85" s="8"/>
      <c r="F85" s="2" t="str">
        <f t="shared" si="14"/>
        <v/>
      </c>
      <c r="G85" s="2"/>
      <c r="H85" s="2"/>
      <c r="I85" s="2"/>
      <c r="J85" s="4"/>
      <c r="K85" s="2"/>
      <c r="L85" s="2"/>
      <c r="M85" s="2"/>
      <c r="N85" s="2"/>
      <c r="O85" s="2"/>
      <c r="P85" s="2"/>
      <c r="Q85" s="5" t="str">
        <f t="shared" si="17"/>
        <v/>
      </c>
      <c r="R85" s="2"/>
      <c r="S85" t="str">
        <f t="shared" si="15"/>
        <v/>
      </c>
      <c r="T85" s="10" t="str">
        <f t="shared" si="16"/>
        <v/>
      </c>
    </row>
    <row r="86" spans="1:20">
      <c r="A86" s="2"/>
      <c r="B86" s="3"/>
      <c r="C86" s="2" t="str">
        <f t="shared" si="12"/>
        <v/>
      </c>
      <c r="D86" s="2" t="str">
        <f t="shared" si="13"/>
        <v/>
      </c>
      <c r="E86" s="8"/>
      <c r="F86" s="2" t="str">
        <f t="shared" si="14"/>
        <v/>
      </c>
      <c r="G86" s="2"/>
      <c r="H86" s="2"/>
      <c r="I86" s="2"/>
      <c r="J86" s="4"/>
      <c r="K86" s="2"/>
      <c r="L86" s="2"/>
      <c r="M86" s="2"/>
      <c r="N86" s="2"/>
      <c r="O86" s="2"/>
      <c r="P86" s="2"/>
      <c r="Q86" s="5" t="str">
        <f t="shared" si="17"/>
        <v/>
      </c>
      <c r="R86" s="2"/>
      <c r="S86" t="str">
        <f t="shared" si="15"/>
        <v/>
      </c>
      <c r="T86" s="10" t="str">
        <f t="shared" si="16"/>
        <v/>
      </c>
    </row>
    <row r="87" spans="1:20">
      <c r="A87" s="2"/>
      <c r="B87" s="3"/>
      <c r="C87" s="2" t="str">
        <f t="shared" si="12"/>
        <v/>
      </c>
      <c r="D87" s="2" t="str">
        <f t="shared" si="13"/>
        <v/>
      </c>
      <c r="E87" s="8"/>
      <c r="F87" s="2" t="str">
        <f t="shared" si="14"/>
        <v/>
      </c>
      <c r="G87" s="2"/>
      <c r="H87" s="2"/>
      <c r="I87" s="2"/>
      <c r="J87" s="4"/>
      <c r="K87" s="2"/>
      <c r="L87" s="2"/>
      <c r="M87" s="2"/>
      <c r="N87" s="2"/>
      <c r="O87" s="2"/>
      <c r="P87" s="2"/>
      <c r="Q87" s="5" t="str">
        <f t="shared" si="17"/>
        <v/>
      </c>
      <c r="R87" s="2"/>
      <c r="S87" t="str">
        <f t="shared" si="15"/>
        <v/>
      </c>
      <c r="T87" s="10" t="str">
        <f t="shared" si="16"/>
        <v/>
      </c>
    </row>
    <row r="88" spans="1:20">
      <c r="A88" s="2"/>
      <c r="B88" s="3"/>
      <c r="C88" s="2" t="str">
        <f t="shared" si="12"/>
        <v/>
      </c>
      <c r="D88" s="2" t="str">
        <f t="shared" si="13"/>
        <v/>
      </c>
      <c r="E88" s="8"/>
      <c r="F88" s="2" t="str">
        <f t="shared" si="14"/>
        <v/>
      </c>
      <c r="G88" s="2"/>
      <c r="H88" s="2"/>
      <c r="I88" s="2"/>
      <c r="J88" s="4"/>
      <c r="K88" s="2"/>
      <c r="L88" s="2"/>
      <c r="M88" s="2"/>
      <c r="N88" s="2"/>
      <c r="O88" s="2"/>
      <c r="P88" s="2"/>
      <c r="Q88" s="5" t="str">
        <f t="shared" si="17"/>
        <v/>
      </c>
      <c r="R88" s="2"/>
      <c r="S88" t="str">
        <f t="shared" si="15"/>
        <v/>
      </c>
      <c r="T88" s="10" t="str">
        <f t="shared" si="16"/>
        <v/>
      </c>
    </row>
    <row r="89" spans="1:20">
      <c r="A89" s="2"/>
      <c r="B89" s="3"/>
      <c r="C89" s="2" t="str">
        <f t="shared" si="12"/>
        <v/>
      </c>
      <c r="D89" s="2" t="str">
        <f t="shared" si="13"/>
        <v/>
      </c>
      <c r="E89" s="8"/>
      <c r="F89" s="2" t="str">
        <f t="shared" si="14"/>
        <v/>
      </c>
      <c r="G89" s="2"/>
      <c r="H89" s="2"/>
      <c r="I89" s="2"/>
      <c r="J89" s="4"/>
      <c r="K89" s="2"/>
      <c r="L89" s="2"/>
      <c r="M89" s="2"/>
      <c r="N89" s="2"/>
      <c r="O89" s="2"/>
      <c r="P89" s="2"/>
      <c r="Q89" s="5" t="str">
        <f t="shared" si="17"/>
        <v/>
      </c>
      <c r="R89" s="2"/>
      <c r="S89" t="str">
        <f t="shared" si="15"/>
        <v/>
      </c>
      <c r="T89" s="10" t="str">
        <f t="shared" si="16"/>
        <v/>
      </c>
    </row>
    <row r="90" spans="1:20">
      <c r="A90" s="2"/>
      <c r="B90" s="3"/>
      <c r="C90" s="2" t="str">
        <f t="shared" si="12"/>
        <v/>
      </c>
      <c r="D90" s="2" t="str">
        <f t="shared" si="13"/>
        <v/>
      </c>
      <c r="E90" s="8"/>
      <c r="F90" s="2" t="str">
        <f t="shared" si="14"/>
        <v/>
      </c>
      <c r="G90" s="2"/>
      <c r="H90" s="2"/>
      <c r="I90" s="2"/>
      <c r="J90" s="4"/>
      <c r="K90" s="2"/>
      <c r="L90" s="2"/>
      <c r="M90" s="2"/>
      <c r="N90" s="2"/>
      <c r="O90" s="2"/>
      <c r="P90" s="2"/>
      <c r="Q90" s="5" t="str">
        <f t="shared" si="17"/>
        <v/>
      </c>
      <c r="R90" s="2"/>
      <c r="S90" t="str">
        <f t="shared" si="15"/>
        <v/>
      </c>
      <c r="T90" s="10" t="str">
        <f t="shared" si="16"/>
        <v/>
      </c>
    </row>
    <row r="91" spans="1:20">
      <c r="A91" s="2"/>
      <c r="B91" s="3"/>
      <c r="C91" s="2" t="str">
        <f t="shared" si="12"/>
        <v/>
      </c>
      <c r="D91" s="2" t="str">
        <f t="shared" si="13"/>
        <v/>
      </c>
      <c r="E91" s="8"/>
      <c r="F91" s="2" t="str">
        <f t="shared" si="14"/>
        <v/>
      </c>
      <c r="G91" s="2"/>
      <c r="H91" s="2"/>
      <c r="I91" s="2"/>
      <c r="J91" s="4"/>
      <c r="K91" s="2"/>
      <c r="L91" s="2"/>
      <c r="M91" s="2"/>
      <c r="N91" s="2"/>
      <c r="O91" s="2"/>
      <c r="P91" s="2"/>
      <c r="Q91" s="5" t="str">
        <f t="shared" si="17"/>
        <v/>
      </c>
      <c r="R91" s="2"/>
      <c r="S91" t="str">
        <f t="shared" si="15"/>
        <v/>
      </c>
      <c r="T91" s="10" t="str">
        <f t="shared" si="16"/>
        <v/>
      </c>
    </row>
    <row r="92" spans="1:20">
      <c r="A92" s="2"/>
      <c r="B92" s="3"/>
      <c r="C92" s="2" t="str">
        <f t="shared" si="12"/>
        <v/>
      </c>
      <c r="D92" s="2" t="str">
        <f t="shared" si="13"/>
        <v/>
      </c>
      <c r="E92" s="8"/>
      <c r="F92" s="2" t="str">
        <f t="shared" si="14"/>
        <v/>
      </c>
      <c r="G92" s="2"/>
      <c r="H92" s="2"/>
      <c r="I92" s="2"/>
      <c r="J92" s="4"/>
      <c r="K92" s="2"/>
      <c r="L92" s="2"/>
      <c r="M92" s="2"/>
      <c r="N92" s="2"/>
      <c r="O92" s="2"/>
      <c r="P92" s="2"/>
      <c r="Q92" s="5" t="str">
        <f t="shared" si="17"/>
        <v/>
      </c>
      <c r="R92" s="2"/>
      <c r="S92" t="str">
        <f t="shared" si="15"/>
        <v/>
      </c>
      <c r="T92" s="10" t="str">
        <f t="shared" si="16"/>
        <v/>
      </c>
    </row>
    <row r="93" spans="1:20">
      <c r="A93" s="2"/>
      <c r="B93" s="3"/>
      <c r="C93" s="2" t="str">
        <f t="shared" si="12"/>
        <v/>
      </c>
      <c r="D93" s="2" t="str">
        <f t="shared" si="13"/>
        <v/>
      </c>
      <c r="E93" s="8"/>
      <c r="F93" s="2" t="str">
        <f t="shared" si="14"/>
        <v/>
      </c>
      <c r="G93" s="2"/>
      <c r="H93" s="2"/>
      <c r="I93" s="2"/>
      <c r="J93" s="4"/>
      <c r="K93" s="2"/>
      <c r="L93" s="2"/>
      <c r="M93" s="2"/>
      <c r="N93" s="2"/>
      <c r="O93" s="2"/>
      <c r="P93" s="2"/>
      <c r="Q93" s="5" t="str">
        <f t="shared" si="17"/>
        <v/>
      </c>
      <c r="R93" s="2"/>
      <c r="S93" t="str">
        <f t="shared" si="15"/>
        <v/>
      </c>
      <c r="T93" s="10" t="str">
        <f t="shared" si="16"/>
        <v/>
      </c>
    </row>
    <row r="94" spans="1:20">
      <c r="A94" s="2"/>
      <c r="B94" s="3"/>
      <c r="C94" s="2" t="str">
        <f t="shared" si="12"/>
        <v/>
      </c>
      <c r="D94" s="2" t="str">
        <f t="shared" si="13"/>
        <v/>
      </c>
      <c r="E94" s="8"/>
      <c r="F94" s="2" t="str">
        <f t="shared" si="14"/>
        <v/>
      </c>
      <c r="G94" s="2"/>
      <c r="H94" s="2"/>
      <c r="I94" s="2"/>
      <c r="J94" s="4"/>
      <c r="K94" s="2"/>
      <c r="L94" s="2"/>
      <c r="M94" s="2"/>
      <c r="N94" s="2"/>
      <c r="O94" s="2"/>
      <c r="P94" s="2"/>
      <c r="Q94" s="5" t="str">
        <f t="shared" si="17"/>
        <v/>
      </c>
      <c r="R94" s="2"/>
      <c r="S94" t="str">
        <f t="shared" si="15"/>
        <v/>
      </c>
      <c r="T94" s="10" t="str">
        <f t="shared" si="16"/>
        <v/>
      </c>
    </row>
    <row r="95" spans="1:20">
      <c r="A95" s="2"/>
      <c r="B95" s="3"/>
      <c r="C95" s="2" t="str">
        <f t="shared" si="12"/>
        <v/>
      </c>
      <c r="D95" s="2" t="str">
        <f t="shared" si="13"/>
        <v/>
      </c>
      <c r="E95" s="8"/>
      <c r="F95" s="2" t="str">
        <f t="shared" si="14"/>
        <v/>
      </c>
      <c r="G95" s="2"/>
      <c r="H95" s="2"/>
      <c r="I95" s="2"/>
      <c r="J95" s="4"/>
      <c r="K95" s="2"/>
      <c r="L95" s="2"/>
      <c r="M95" s="2"/>
      <c r="N95" s="2"/>
      <c r="O95" s="2"/>
      <c r="P95" s="2"/>
      <c r="Q95" s="5" t="str">
        <f t="shared" si="17"/>
        <v/>
      </c>
      <c r="R95" s="2"/>
      <c r="S95" t="str">
        <f t="shared" si="15"/>
        <v/>
      </c>
      <c r="T95" s="10" t="str">
        <f t="shared" si="16"/>
        <v/>
      </c>
    </row>
    <row r="96" spans="1:20">
      <c r="A96" s="2"/>
      <c r="B96" s="3"/>
      <c r="C96" s="2" t="str">
        <f t="shared" si="12"/>
        <v/>
      </c>
      <c r="D96" s="2" t="str">
        <f t="shared" si="13"/>
        <v/>
      </c>
      <c r="E96" s="8"/>
      <c r="F96" s="2" t="str">
        <f t="shared" si="14"/>
        <v/>
      </c>
      <c r="G96" s="2"/>
      <c r="H96" s="2"/>
      <c r="I96" s="2"/>
      <c r="J96" s="4"/>
      <c r="K96" s="2"/>
      <c r="L96" s="2"/>
      <c r="M96" s="2"/>
      <c r="N96" s="2"/>
      <c r="O96" s="2"/>
      <c r="P96" s="2"/>
      <c r="Q96" s="5" t="str">
        <f t="shared" si="17"/>
        <v/>
      </c>
      <c r="R96" s="2"/>
      <c r="S96" t="str">
        <f t="shared" si="15"/>
        <v/>
      </c>
      <c r="T96" s="10" t="str">
        <f t="shared" si="16"/>
        <v/>
      </c>
    </row>
    <row r="97" spans="1:20">
      <c r="A97" s="2"/>
      <c r="B97" s="3"/>
      <c r="C97" s="2" t="str">
        <f t="shared" si="12"/>
        <v/>
      </c>
      <c r="D97" s="2" t="str">
        <f t="shared" si="13"/>
        <v/>
      </c>
      <c r="E97" s="8"/>
      <c r="F97" s="2" t="str">
        <f t="shared" si="14"/>
        <v/>
      </c>
      <c r="G97" s="2"/>
      <c r="H97" s="2"/>
      <c r="I97" s="2"/>
      <c r="J97" s="4"/>
      <c r="K97" s="2"/>
      <c r="L97" s="2"/>
      <c r="M97" s="2"/>
      <c r="N97" s="2"/>
      <c r="O97" s="2"/>
      <c r="P97" s="2"/>
      <c r="Q97" s="5" t="str">
        <f t="shared" si="17"/>
        <v/>
      </c>
      <c r="R97" s="2"/>
      <c r="S97" t="str">
        <f t="shared" si="15"/>
        <v/>
      </c>
      <c r="T97" s="10" t="str">
        <f t="shared" si="16"/>
        <v/>
      </c>
    </row>
    <row r="98" spans="1:20">
      <c r="A98" s="2"/>
      <c r="B98" s="3"/>
      <c r="C98" s="2" t="str">
        <f t="shared" ref="C98:C129" si="18">IF(B98="","",YEAR(B98))</f>
        <v/>
      </c>
      <c r="D98" s="2" t="str">
        <f t="shared" ref="D98:D129" si="19">IF(B98="","",CHOOSE(MONTH(B98),"Január","Február","Marec","Apríl","Máj","Jún","Júl","August","September","Október","November","December"))</f>
        <v/>
      </c>
      <c r="E98" s="8"/>
      <c r="F98" s="2" t="str">
        <f t="shared" ref="F98:F129" si="20">IF(B98="","",MONTH(B98))</f>
        <v/>
      </c>
      <c r="G98" s="2"/>
      <c r="H98" s="2"/>
      <c r="I98" s="2"/>
      <c r="J98" s="4"/>
      <c r="K98" s="2"/>
      <c r="L98" s="2"/>
      <c r="M98" s="2"/>
      <c r="N98" s="2"/>
      <c r="O98" s="2"/>
      <c r="P98" s="2"/>
      <c r="Q98" s="5" t="str">
        <f t="shared" si="17"/>
        <v/>
      </c>
      <c r="R98" s="2"/>
      <c r="S98" t="str">
        <f t="shared" ref="S98:S129" si="21">IF(B98="","",IF(L98="Absolvovaný","Absolvovaný",IF(L98="Zrušený","Zrušený","Plánovaný")))</f>
        <v/>
      </c>
      <c r="T98" s="10" t="str">
        <f t="shared" ref="T98:T129" si="22">IF(Q98="","",Q98/7)</f>
        <v/>
      </c>
    </row>
    <row r="99" spans="1:20">
      <c r="A99" s="2"/>
      <c r="B99" s="3"/>
      <c r="C99" s="2" t="str">
        <f t="shared" si="18"/>
        <v/>
      </c>
      <c r="D99" s="2" t="str">
        <f t="shared" si="19"/>
        <v/>
      </c>
      <c r="E99" s="8"/>
      <c r="F99" s="2" t="str">
        <f t="shared" si="20"/>
        <v/>
      </c>
      <c r="G99" s="2"/>
      <c r="H99" s="2"/>
      <c r="I99" s="2"/>
      <c r="J99" s="4"/>
      <c r="K99" s="2"/>
      <c r="L99" s="2"/>
      <c r="M99" s="2"/>
      <c r="N99" s="2"/>
      <c r="O99" s="2"/>
      <c r="P99" s="2"/>
      <c r="Q99" s="5" t="str">
        <f t="shared" ref="Q99:Q130" si="23">IF(OR(B99="",B98=""),"",B99-B98)</f>
        <v/>
      </c>
      <c r="R99" s="2"/>
      <c r="S99" t="str">
        <f t="shared" si="21"/>
        <v/>
      </c>
      <c r="T99" s="10" t="str">
        <f t="shared" si="22"/>
        <v/>
      </c>
    </row>
    <row r="100" spans="1:20">
      <c r="A100" s="2"/>
      <c r="B100" s="3"/>
      <c r="C100" s="2" t="str">
        <f t="shared" si="18"/>
        <v/>
      </c>
      <c r="D100" s="2" t="str">
        <f t="shared" si="19"/>
        <v/>
      </c>
      <c r="E100" s="8"/>
      <c r="F100" s="2" t="str">
        <f t="shared" si="20"/>
        <v/>
      </c>
      <c r="G100" s="2"/>
      <c r="H100" s="2"/>
      <c r="I100" s="2"/>
      <c r="J100" s="4"/>
      <c r="K100" s="2"/>
      <c r="L100" s="2"/>
      <c r="M100" s="2"/>
      <c r="N100" s="2"/>
      <c r="O100" s="2"/>
      <c r="P100" s="2"/>
      <c r="Q100" s="5" t="str">
        <f t="shared" si="23"/>
        <v/>
      </c>
      <c r="R100" s="2"/>
      <c r="S100" t="str">
        <f t="shared" si="21"/>
        <v/>
      </c>
      <c r="T100" s="10" t="str">
        <f t="shared" si="22"/>
        <v/>
      </c>
    </row>
    <row r="101" spans="1:20">
      <c r="A101" s="2"/>
      <c r="B101" s="3"/>
      <c r="C101" s="2" t="str">
        <f t="shared" si="18"/>
        <v/>
      </c>
      <c r="D101" s="2" t="str">
        <f t="shared" si="19"/>
        <v/>
      </c>
      <c r="E101" s="8"/>
      <c r="F101" s="2" t="str">
        <f t="shared" si="20"/>
        <v/>
      </c>
      <c r="G101" s="2"/>
      <c r="H101" s="2"/>
      <c r="I101" s="2"/>
      <c r="J101" s="4"/>
      <c r="K101" s="2"/>
      <c r="L101" s="2"/>
      <c r="M101" s="2"/>
      <c r="N101" s="2"/>
      <c r="O101" s="2"/>
      <c r="P101" s="2"/>
      <c r="Q101" s="5" t="str">
        <f t="shared" si="23"/>
        <v/>
      </c>
      <c r="R101" s="2"/>
      <c r="S101" t="str">
        <f t="shared" si="21"/>
        <v/>
      </c>
      <c r="T101" s="10" t="str">
        <f t="shared" si="22"/>
        <v/>
      </c>
    </row>
    <row r="102" spans="1:20">
      <c r="A102" s="2"/>
      <c r="B102" s="3"/>
      <c r="C102" s="2" t="str">
        <f t="shared" si="18"/>
        <v/>
      </c>
      <c r="D102" s="2" t="str">
        <f t="shared" si="19"/>
        <v/>
      </c>
      <c r="E102" s="8"/>
      <c r="F102" s="2" t="str">
        <f t="shared" si="20"/>
        <v/>
      </c>
      <c r="G102" s="2"/>
      <c r="H102" s="2"/>
      <c r="I102" s="2"/>
      <c r="J102" s="4"/>
      <c r="K102" s="2"/>
      <c r="L102" s="2"/>
      <c r="M102" s="2"/>
      <c r="N102" s="2"/>
      <c r="O102" s="2"/>
      <c r="P102" s="2"/>
      <c r="Q102" s="5" t="str">
        <f t="shared" si="23"/>
        <v/>
      </c>
      <c r="R102" s="2"/>
      <c r="S102" t="str">
        <f t="shared" si="21"/>
        <v/>
      </c>
      <c r="T102" s="10" t="str">
        <f t="shared" si="22"/>
        <v/>
      </c>
    </row>
    <row r="103" spans="1:20">
      <c r="A103" s="2"/>
      <c r="B103" s="3"/>
      <c r="C103" s="2" t="str">
        <f t="shared" si="18"/>
        <v/>
      </c>
      <c r="D103" s="2" t="str">
        <f t="shared" si="19"/>
        <v/>
      </c>
      <c r="E103" s="8"/>
      <c r="F103" s="2" t="str">
        <f t="shared" si="20"/>
        <v/>
      </c>
      <c r="G103" s="2"/>
      <c r="H103" s="2"/>
      <c r="I103" s="2"/>
      <c r="J103" s="4"/>
      <c r="K103" s="2"/>
      <c r="L103" s="2"/>
      <c r="M103" s="2"/>
      <c r="N103" s="2"/>
      <c r="O103" s="2"/>
      <c r="P103" s="2"/>
      <c r="Q103" s="5" t="str">
        <f t="shared" si="23"/>
        <v/>
      </c>
      <c r="R103" s="2"/>
      <c r="S103" t="str">
        <f t="shared" si="21"/>
        <v/>
      </c>
      <c r="T103" s="10" t="str">
        <f t="shared" si="22"/>
        <v/>
      </c>
    </row>
    <row r="104" spans="1:20">
      <c r="A104" s="2"/>
      <c r="B104" s="3"/>
      <c r="C104" s="2" t="str">
        <f t="shared" si="18"/>
        <v/>
      </c>
      <c r="D104" s="2" t="str">
        <f t="shared" si="19"/>
        <v/>
      </c>
      <c r="E104" s="8"/>
      <c r="F104" s="2" t="str">
        <f t="shared" si="20"/>
        <v/>
      </c>
      <c r="G104" s="2"/>
      <c r="H104" s="2"/>
      <c r="I104" s="2"/>
      <c r="J104" s="4"/>
      <c r="K104" s="2"/>
      <c r="L104" s="2"/>
      <c r="M104" s="2"/>
      <c r="N104" s="2"/>
      <c r="O104" s="2"/>
      <c r="P104" s="2"/>
      <c r="Q104" s="5" t="str">
        <f t="shared" si="23"/>
        <v/>
      </c>
      <c r="R104" s="2"/>
      <c r="S104" t="str">
        <f t="shared" si="21"/>
        <v/>
      </c>
      <c r="T104" s="10" t="str">
        <f t="shared" si="22"/>
        <v/>
      </c>
    </row>
    <row r="105" spans="1:20">
      <c r="A105" s="2"/>
      <c r="B105" s="3"/>
      <c r="C105" s="2" t="str">
        <f t="shared" si="18"/>
        <v/>
      </c>
      <c r="D105" s="2" t="str">
        <f t="shared" si="19"/>
        <v/>
      </c>
      <c r="E105" s="8"/>
      <c r="F105" s="2" t="str">
        <f t="shared" si="20"/>
        <v/>
      </c>
      <c r="G105" s="2"/>
      <c r="H105" s="2"/>
      <c r="I105" s="2"/>
      <c r="J105" s="4"/>
      <c r="K105" s="2"/>
      <c r="L105" s="2"/>
      <c r="M105" s="2"/>
      <c r="N105" s="2"/>
      <c r="O105" s="2"/>
      <c r="P105" s="2"/>
      <c r="Q105" s="5" t="str">
        <f t="shared" si="23"/>
        <v/>
      </c>
      <c r="R105" s="2"/>
      <c r="S105" t="str">
        <f t="shared" si="21"/>
        <v/>
      </c>
      <c r="T105" s="10" t="str">
        <f t="shared" si="22"/>
        <v/>
      </c>
    </row>
    <row r="106" spans="1:20">
      <c r="A106" s="2"/>
      <c r="B106" s="3"/>
      <c r="C106" s="2" t="str">
        <f t="shared" si="18"/>
        <v/>
      </c>
      <c r="D106" s="2" t="str">
        <f t="shared" si="19"/>
        <v/>
      </c>
      <c r="E106" s="8"/>
      <c r="F106" s="2" t="str">
        <f t="shared" si="20"/>
        <v/>
      </c>
      <c r="G106" s="2"/>
      <c r="H106" s="2"/>
      <c r="I106" s="2"/>
      <c r="J106" s="4"/>
      <c r="K106" s="2"/>
      <c r="L106" s="2"/>
      <c r="M106" s="2"/>
      <c r="N106" s="2"/>
      <c r="O106" s="2"/>
      <c r="P106" s="2"/>
      <c r="Q106" s="5" t="str">
        <f t="shared" si="23"/>
        <v/>
      </c>
      <c r="R106" s="2"/>
      <c r="S106" t="str">
        <f t="shared" si="21"/>
        <v/>
      </c>
      <c r="T106" s="10" t="str">
        <f t="shared" si="22"/>
        <v/>
      </c>
    </row>
    <row r="107" spans="1:20">
      <c r="A107" s="2"/>
      <c r="B107" s="3"/>
      <c r="C107" s="2" t="str">
        <f t="shared" si="18"/>
        <v/>
      </c>
      <c r="D107" s="2" t="str">
        <f t="shared" si="19"/>
        <v/>
      </c>
      <c r="E107" s="8"/>
      <c r="F107" s="2" t="str">
        <f t="shared" si="20"/>
        <v/>
      </c>
      <c r="G107" s="2"/>
      <c r="H107" s="2"/>
      <c r="I107" s="2"/>
      <c r="J107" s="4"/>
      <c r="K107" s="2"/>
      <c r="L107" s="2"/>
      <c r="M107" s="2"/>
      <c r="N107" s="2"/>
      <c r="O107" s="2"/>
      <c r="P107" s="2"/>
      <c r="Q107" s="5" t="str">
        <f t="shared" si="23"/>
        <v/>
      </c>
      <c r="R107" s="2"/>
      <c r="S107" t="str">
        <f t="shared" si="21"/>
        <v/>
      </c>
      <c r="T107" s="10" t="str">
        <f t="shared" si="22"/>
        <v/>
      </c>
    </row>
    <row r="108" spans="1:20">
      <c r="A108" s="2"/>
      <c r="B108" s="3"/>
      <c r="C108" s="2" t="str">
        <f t="shared" si="18"/>
        <v/>
      </c>
      <c r="D108" s="2" t="str">
        <f t="shared" si="19"/>
        <v/>
      </c>
      <c r="E108" s="8"/>
      <c r="F108" s="2" t="str">
        <f t="shared" si="20"/>
        <v/>
      </c>
      <c r="G108" s="2"/>
      <c r="H108" s="2"/>
      <c r="I108" s="2"/>
      <c r="J108" s="4"/>
      <c r="K108" s="2"/>
      <c r="L108" s="2"/>
      <c r="M108" s="2"/>
      <c r="N108" s="2"/>
      <c r="O108" s="2"/>
      <c r="P108" s="2"/>
      <c r="Q108" s="5" t="str">
        <f t="shared" si="23"/>
        <v/>
      </c>
      <c r="R108" s="2"/>
      <c r="S108" t="str">
        <f t="shared" si="21"/>
        <v/>
      </c>
      <c r="T108" s="10" t="str">
        <f t="shared" si="22"/>
        <v/>
      </c>
    </row>
    <row r="109" spans="1:20">
      <c r="A109" s="2"/>
      <c r="B109" s="3"/>
      <c r="C109" s="2" t="str">
        <f t="shared" si="18"/>
        <v/>
      </c>
      <c r="D109" s="2" t="str">
        <f t="shared" si="19"/>
        <v/>
      </c>
      <c r="E109" s="8"/>
      <c r="F109" s="2" t="str">
        <f t="shared" si="20"/>
        <v/>
      </c>
      <c r="G109" s="2"/>
      <c r="H109" s="2"/>
      <c r="I109" s="2"/>
      <c r="J109" s="4"/>
      <c r="K109" s="2"/>
      <c r="L109" s="2"/>
      <c r="M109" s="2"/>
      <c r="N109" s="2"/>
      <c r="O109" s="2"/>
      <c r="P109" s="2"/>
      <c r="Q109" s="5" t="str">
        <f t="shared" si="23"/>
        <v/>
      </c>
      <c r="R109" s="2"/>
      <c r="S109" t="str">
        <f t="shared" si="21"/>
        <v/>
      </c>
      <c r="T109" s="10" t="str">
        <f t="shared" si="22"/>
        <v/>
      </c>
    </row>
    <row r="110" spans="1:20">
      <c r="A110" s="2"/>
      <c r="B110" s="3"/>
      <c r="C110" s="2" t="str">
        <f t="shared" si="18"/>
        <v/>
      </c>
      <c r="D110" s="2" t="str">
        <f t="shared" si="19"/>
        <v/>
      </c>
      <c r="E110" s="8"/>
      <c r="F110" s="2" t="str">
        <f t="shared" si="20"/>
        <v/>
      </c>
      <c r="G110" s="2"/>
      <c r="H110" s="2"/>
      <c r="I110" s="2"/>
      <c r="J110" s="4"/>
      <c r="K110" s="2"/>
      <c r="L110" s="2"/>
      <c r="M110" s="2"/>
      <c r="N110" s="2"/>
      <c r="O110" s="2"/>
      <c r="P110" s="2"/>
      <c r="Q110" s="5" t="str">
        <f t="shared" si="23"/>
        <v/>
      </c>
      <c r="R110" s="2"/>
      <c r="S110" t="str">
        <f t="shared" si="21"/>
        <v/>
      </c>
      <c r="T110" s="10" t="str">
        <f t="shared" si="22"/>
        <v/>
      </c>
    </row>
    <row r="111" spans="1:20">
      <c r="A111" s="2"/>
      <c r="B111" s="3"/>
      <c r="C111" s="2" t="str">
        <f t="shared" si="18"/>
        <v/>
      </c>
      <c r="D111" s="2" t="str">
        <f t="shared" si="19"/>
        <v/>
      </c>
      <c r="E111" s="8"/>
      <c r="F111" s="2" t="str">
        <f t="shared" si="20"/>
        <v/>
      </c>
      <c r="G111" s="2"/>
      <c r="H111" s="2"/>
      <c r="I111" s="2"/>
      <c r="J111" s="4"/>
      <c r="K111" s="2"/>
      <c r="L111" s="2"/>
      <c r="M111" s="2"/>
      <c r="N111" s="2"/>
      <c r="O111" s="2"/>
      <c r="P111" s="2"/>
      <c r="Q111" s="5" t="str">
        <f t="shared" si="23"/>
        <v/>
      </c>
      <c r="R111" s="2"/>
      <c r="S111" t="str">
        <f t="shared" si="21"/>
        <v/>
      </c>
      <c r="T111" s="10" t="str">
        <f t="shared" si="22"/>
        <v/>
      </c>
    </row>
    <row r="112" spans="1:20">
      <c r="A112" s="2"/>
      <c r="B112" s="3"/>
      <c r="C112" s="2" t="str">
        <f t="shared" si="18"/>
        <v/>
      </c>
      <c r="D112" s="2" t="str">
        <f t="shared" si="19"/>
        <v/>
      </c>
      <c r="E112" s="8"/>
      <c r="F112" s="2" t="str">
        <f t="shared" si="20"/>
        <v/>
      </c>
      <c r="G112" s="2"/>
      <c r="H112" s="2"/>
      <c r="I112" s="2"/>
      <c r="J112" s="4"/>
      <c r="K112" s="2"/>
      <c r="L112" s="2"/>
      <c r="M112" s="2"/>
      <c r="N112" s="2"/>
      <c r="O112" s="2"/>
      <c r="P112" s="2"/>
      <c r="Q112" s="5" t="str">
        <f t="shared" si="23"/>
        <v/>
      </c>
      <c r="R112" s="2"/>
      <c r="S112" t="str">
        <f t="shared" si="21"/>
        <v/>
      </c>
      <c r="T112" s="10" t="str">
        <f t="shared" si="22"/>
        <v/>
      </c>
    </row>
    <row r="113" spans="1:20">
      <c r="A113" s="2"/>
      <c r="B113" s="3"/>
      <c r="C113" s="2" t="str">
        <f t="shared" si="18"/>
        <v/>
      </c>
      <c r="D113" s="2" t="str">
        <f t="shared" si="19"/>
        <v/>
      </c>
      <c r="E113" s="8"/>
      <c r="F113" s="2" t="str">
        <f t="shared" si="20"/>
        <v/>
      </c>
      <c r="G113" s="2"/>
      <c r="H113" s="2"/>
      <c r="I113" s="2"/>
      <c r="J113" s="4"/>
      <c r="K113" s="2"/>
      <c r="L113" s="2"/>
      <c r="M113" s="2"/>
      <c r="N113" s="2"/>
      <c r="O113" s="2"/>
      <c r="P113" s="2"/>
      <c r="Q113" s="5" t="str">
        <f t="shared" si="23"/>
        <v/>
      </c>
      <c r="R113" s="2"/>
      <c r="S113" t="str">
        <f t="shared" si="21"/>
        <v/>
      </c>
      <c r="T113" s="10" t="str">
        <f t="shared" si="22"/>
        <v/>
      </c>
    </row>
    <row r="114" spans="1:20">
      <c r="A114" s="2"/>
      <c r="B114" s="3"/>
      <c r="C114" s="2" t="str">
        <f t="shared" si="18"/>
        <v/>
      </c>
      <c r="D114" s="2" t="str">
        <f t="shared" si="19"/>
        <v/>
      </c>
      <c r="E114" s="8"/>
      <c r="F114" s="2" t="str">
        <f t="shared" si="20"/>
        <v/>
      </c>
      <c r="G114" s="2"/>
      <c r="H114" s="2"/>
      <c r="I114" s="2"/>
      <c r="J114" s="4"/>
      <c r="K114" s="2"/>
      <c r="L114" s="2"/>
      <c r="M114" s="2"/>
      <c r="N114" s="2"/>
      <c r="O114" s="2"/>
      <c r="P114" s="2"/>
      <c r="Q114" s="5" t="str">
        <f t="shared" si="23"/>
        <v/>
      </c>
      <c r="R114" s="2"/>
      <c r="S114" t="str">
        <f t="shared" si="21"/>
        <v/>
      </c>
      <c r="T114" s="10" t="str">
        <f t="shared" si="22"/>
        <v/>
      </c>
    </row>
    <row r="115" spans="1:20">
      <c r="A115" s="2"/>
      <c r="B115" s="3"/>
      <c r="C115" s="2" t="str">
        <f t="shared" si="18"/>
        <v/>
      </c>
      <c r="D115" s="2" t="str">
        <f t="shared" si="19"/>
        <v/>
      </c>
      <c r="E115" s="8"/>
      <c r="F115" s="2" t="str">
        <f t="shared" si="20"/>
        <v/>
      </c>
      <c r="G115" s="2"/>
      <c r="H115" s="2"/>
      <c r="I115" s="2"/>
      <c r="J115" s="4"/>
      <c r="K115" s="2"/>
      <c r="L115" s="2"/>
      <c r="M115" s="2"/>
      <c r="N115" s="2"/>
      <c r="O115" s="2"/>
      <c r="P115" s="2"/>
      <c r="Q115" s="5" t="str">
        <f t="shared" si="23"/>
        <v/>
      </c>
      <c r="R115" s="2"/>
      <c r="S115" t="str">
        <f t="shared" si="21"/>
        <v/>
      </c>
      <c r="T115" s="10" t="str">
        <f t="shared" si="22"/>
        <v/>
      </c>
    </row>
    <row r="116" spans="1:20">
      <c r="A116" s="2"/>
      <c r="B116" s="3"/>
      <c r="C116" s="2" t="str">
        <f t="shared" si="18"/>
        <v/>
      </c>
      <c r="D116" s="2" t="str">
        <f t="shared" si="19"/>
        <v/>
      </c>
      <c r="E116" s="8"/>
      <c r="F116" s="2" t="str">
        <f t="shared" si="20"/>
        <v/>
      </c>
      <c r="G116" s="2"/>
      <c r="H116" s="2"/>
      <c r="I116" s="2"/>
      <c r="J116" s="4"/>
      <c r="K116" s="2"/>
      <c r="L116" s="2"/>
      <c r="M116" s="2"/>
      <c r="N116" s="2"/>
      <c r="O116" s="2"/>
      <c r="P116" s="2"/>
      <c r="Q116" s="5" t="str">
        <f t="shared" si="23"/>
        <v/>
      </c>
      <c r="R116" s="2"/>
      <c r="S116" t="str">
        <f t="shared" si="21"/>
        <v/>
      </c>
      <c r="T116" s="10" t="str">
        <f t="shared" si="22"/>
        <v/>
      </c>
    </row>
    <row r="117" spans="1:20">
      <c r="A117" s="2"/>
      <c r="B117" s="3"/>
      <c r="C117" s="2" t="str">
        <f t="shared" si="18"/>
        <v/>
      </c>
      <c r="D117" s="2" t="str">
        <f t="shared" si="19"/>
        <v/>
      </c>
      <c r="E117" s="8"/>
      <c r="F117" s="2" t="str">
        <f t="shared" si="20"/>
        <v/>
      </c>
      <c r="G117" s="2"/>
      <c r="H117" s="2"/>
      <c r="I117" s="2"/>
      <c r="J117" s="4"/>
      <c r="K117" s="2"/>
      <c r="L117" s="2"/>
      <c r="M117" s="2"/>
      <c r="N117" s="2"/>
      <c r="O117" s="2"/>
      <c r="P117" s="2"/>
      <c r="Q117" s="5" t="str">
        <f t="shared" si="23"/>
        <v/>
      </c>
      <c r="R117" s="2"/>
      <c r="S117" t="str">
        <f t="shared" si="21"/>
        <v/>
      </c>
      <c r="T117" s="10" t="str">
        <f t="shared" si="22"/>
        <v/>
      </c>
    </row>
    <row r="118" spans="1:20">
      <c r="A118" s="2"/>
      <c r="B118" s="3"/>
      <c r="C118" s="2" t="str">
        <f t="shared" si="18"/>
        <v/>
      </c>
      <c r="D118" s="2" t="str">
        <f t="shared" si="19"/>
        <v/>
      </c>
      <c r="E118" s="8"/>
      <c r="F118" s="2" t="str">
        <f t="shared" si="20"/>
        <v/>
      </c>
      <c r="G118" s="2"/>
      <c r="H118" s="2"/>
      <c r="I118" s="2"/>
      <c r="J118" s="4"/>
      <c r="K118" s="2"/>
      <c r="L118" s="2"/>
      <c r="M118" s="2"/>
      <c r="N118" s="2"/>
      <c r="O118" s="2"/>
      <c r="P118" s="2"/>
      <c r="Q118" s="5" t="str">
        <f t="shared" si="23"/>
        <v/>
      </c>
      <c r="R118" s="2"/>
      <c r="S118" t="str">
        <f t="shared" si="21"/>
        <v/>
      </c>
      <c r="T118" s="10" t="str">
        <f t="shared" si="22"/>
        <v/>
      </c>
    </row>
    <row r="119" spans="1:20">
      <c r="A119" s="2"/>
      <c r="B119" s="3"/>
      <c r="C119" s="2" t="str">
        <f t="shared" si="18"/>
        <v/>
      </c>
      <c r="D119" s="2" t="str">
        <f t="shared" si="19"/>
        <v/>
      </c>
      <c r="E119" s="8"/>
      <c r="F119" s="2" t="str">
        <f t="shared" si="20"/>
        <v/>
      </c>
      <c r="G119" s="2"/>
      <c r="H119" s="2"/>
      <c r="I119" s="2"/>
      <c r="J119" s="4"/>
      <c r="K119" s="2"/>
      <c r="L119" s="2"/>
      <c r="M119" s="2"/>
      <c r="N119" s="2"/>
      <c r="O119" s="2"/>
      <c r="P119" s="2"/>
      <c r="Q119" s="5" t="str">
        <f t="shared" si="23"/>
        <v/>
      </c>
      <c r="R119" s="2"/>
      <c r="S119" t="str">
        <f t="shared" si="21"/>
        <v/>
      </c>
      <c r="T119" s="10" t="str">
        <f t="shared" si="22"/>
        <v/>
      </c>
    </row>
    <row r="120" spans="1:20">
      <c r="A120" s="2"/>
      <c r="B120" s="3"/>
      <c r="C120" s="2" t="str">
        <f t="shared" si="18"/>
        <v/>
      </c>
      <c r="D120" s="2" t="str">
        <f t="shared" si="19"/>
        <v/>
      </c>
      <c r="E120" s="8"/>
      <c r="F120" s="2" t="str">
        <f t="shared" si="20"/>
        <v/>
      </c>
      <c r="G120" s="2"/>
      <c r="H120" s="2"/>
      <c r="I120" s="2"/>
      <c r="J120" s="4"/>
      <c r="K120" s="2"/>
      <c r="L120" s="2"/>
      <c r="M120" s="2"/>
      <c r="N120" s="2"/>
      <c r="O120" s="2"/>
      <c r="P120" s="2"/>
      <c r="Q120" s="5" t="str">
        <f t="shared" si="23"/>
        <v/>
      </c>
      <c r="R120" s="2"/>
      <c r="S120" t="str">
        <f t="shared" si="21"/>
        <v/>
      </c>
      <c r="T120" s="10" t="str">
        <f t="shared" si="22"/>
        <v/>
      </c>
    </row>
    <row r="121" spans="1:20">
      <c r="A121" s="2"/>
      <c r="B121" s="3"/>
      <c r="C121" s="2" t="str">
        <f t="shared" si="18"/>
        <v/>
      </c>
      <c r="D121" s="2" t="str">
        <f t="shared" si="19"/>
        <v/>
      </c>
      <c r="E121" s="8"/>
      <c r="F121" s="2" t="str">
        <f t="shared" si="20"/>
        <v/>
      </c>
      <c r="G121" s="2"/>
      <c r="H121" s="2"/>
      <c r="I121" s="2"/>
      <c r="J121" s="4"/>
      <c r="K121" s="2"/>
      <c r="L121" s="2"/>
      <c r="M121" s="2"/>
      <c r="N121" s="2"/>
      <c r="O121" s="2"/>
      <c r="P121" s="2"/>
      <c r="Q121" s="5" t="str">
        <f t="shared" si="23"/>
        <v/>
      </c>
      <c r="R121" s="2"/>
      <c r="S121" t="str">
        <f t="shared" si="21"/>
        <v/>
      </c>
      <c r="T121" s="10" t="str">
        <f t="shared" si="22"/>
        <v/>
      </c>
    </row>
    <row r="122" spans="1:20">
      <c r="A122" s="2"/>
      <c r="B122" s="3"/>
      <c r="C122" s="2" t="str">
        <f t="shared" si="18"/>
        <v/>
      </c>
      <c r="D122" s="2" t="str">
        <f t="shared" si="19"/>
        <v/>
      </c>
      <c r="E122" s="8"/>
      <c r="F122" s="2" t="str">
        <f t="shared" si="20"/>
        <v/>
      </c>
      <c r="G122" s="2"/>
      <c r="H122" s="2"/>
      <c r="I122" s="2"/>
      <c r="J122" s="4"/>
      <c r="K122" s="2"/>
      <c r="L122" s="2"/>
      <c r="M122" s="2"/>
      <c r="N122" s="2"/>
      <c r="O122" s="2"/>
      <c r="P122" s="2"/>
      <c r="Q122" s="5" t="str">
        <f t="shared" si="23"/>
        <v/>
      </c>
      <c r="R122" s="2"/>
      <c r="S122" t="str">
        <f t="shared" si="21"/>
        <v/>
      </c>
      <c r="T122" s="10" t="str">
        <f t="shared" si="22"/>
        <v/>
      </c>
    </row>
    <row r="123" spans="1:20">
      <c r="A123" s="2"/>
      <c r="B123" s="3"/>
      <c r="C123" s="2" t="str">
        <f t="shared" si="18"/>
        <v/>
      </c>
      <c r="D123" s="2" t="str">
        <f t="shared" si="19"/>
        <v/>
      </c>
      <c r="E123" s="8"/>
      <c r="F123" s="2" t="str">
        <f t="shared" si="20"/>
        <v/>
      </c>
      <c r="G123" s="2"/>
      <c r="H123" s="2"/>
      <c r="I123" s="2"/>
      <c r="J123" s="4"/>
      <c r="K123" s="2"/>
      <c r="L123" s="2"/>
      <c r="M123" s="2"/>
      <c r="N123" s="2"/>
      <c r="O123" s="2"/>
      <c r="P123" s="2"/>
      <c r="Q123" s="5" t="str">
        <f t="shared" si="23"/>
        <v/>
      </c>
      <c r="R123" s="2"/>
      <c r="S123" t="str">
        <f t="shared" si="21"/>
        <v/>
      </c>
      <c r="T123" s="10" t="str">
        <f t="shared" si="22"/>
        <v/>
      </c>
    </row>
    <row r="124" spans="1:20">
      <c r="A124" s="2"/>
      <c r="B124" s="3"/>
      <c r="C124" s="2" t="str">
        <f t="shared" si="18"/>
        <v/>
      </c>
      <c r="D124" s="2" t="str">
        <f t="shared" si="19"/>
        <v/>
      </c>
      <c r="E124" s="8"/>
      <c r="F124" s="2" t="str">
        <f t="shared" si="20"/>
        <v/>
      </c>
      <c r="G124" s="2"/>
      <c r="H124" s="2"/>
      <c r="I124" s="2"/>
      <c r="J124" s="4"/>
      <c r="K124" s="2"/>
      <c r="L124" s="2"/>
      <c r="M124" s="2"/>
      <c r="N124" s="2"/>
      <c r="O124" s="2"/>
      <c r="P124" s="2"/>
      <c r="Q124" s="5" t="str">
        <f t="shared" si="23"/>
        <v/>
      </c>
      <c r="R124" s="2"/>
      <c r="S124" t="str">
        <f t="shared" si="21"/>
        <v/>
      </c>
      <c r="T124" s="10" t="str">
        <f t="shared" si="22"/>
        <v/>
      </c>
    </row>
    <row r="125" spans="1:20">
      <c r="A125" s="2"/>
      <c r="B125" s="3"/>
      <c r="C125" s="2" t="str">
        <f t="shared" si="18"/>
        <v/>
      </c>
      <c r="D125" s="2" t="str">
        <f t="shared" si="19"/>
        <v/>
      </c>
      <c r="E125" s="8"/>
      <c r="F125" s="2" t="str">
        <f t="shared" si="20"/>
        <v/>
      </c>
      <c r="G125" s="2"/>
      <c r="H125" s="2"/>
      <c r="I125" s="2"/>
      <c r="J125" s="4"/>
      <c r="K125" s="2"/>
      <c r="L125" s="2"/>
      <c r="M125" s="2"/>
      <c r="N125" s="2"/>
      <c r="O125" s="2"/>
      <c r="P125" s="2"/>
      <c r="Q125" s="5" t="str">
        <f t="shared" si="23"/>
        <v/>
      </c>
      <c r="R125" s="2"/>
      <c r="S125" t="str">
        <f t="shared" si="21"/>
        <v/>
      </c>
      <c r="T125" s="10" t="str">
        <f t="shared" si="22"/>
        <v/>
      </c>
    </row>
    <row r="126" spans="1:20">
      <c r="A126" s="2"/>
      <c r="B126" s="3"/>
      <c r="C126" s="2" t="str">
        <f t="shared" si="18"/>
        <v/>
      </c>
      <c r="D126" s="2" t="str">
        <f t="shared" si="19"/>
        <v/>
      </c>
      <c r="E126" s="8"/>
      <c r="F126" s="2" t="str">
        <f t="shared" si="20"/>
        <v/>
      </c>
      <c r="G126" s="2"/>
      <c r="H126" s="2"/>
      <c r="I126" s="2"/>
      <c r="J126" s="4"/>
      <c r="K126" s="2"/>
      <c r="L126" s="2"/>
      <c r="M126" s="2"/>
      <c r="N126" s="2"/>
      <c r="O126" s="2"/>
      <c r="P126" s="2"/>
      <c r="Q126" s="5" t="str">
        <f t="shared" si="23"/>
        <v/>
      </c>
      <c r="R126" s="2"/>
      <c r="S126" t="str">
        <f t="shared" si="21"/>
        <v/>
      </c>
      <c r="T126" s="10" t="str">
        <f t="shared" si="22"/>
        <v/>
      </c>
    </row>
    <row r="127" spans="1:20">
      <c r="A127" s="2"/>
      <c r="B127" s="3"/>
      <c r="C127" s="2" t="str">
        <f t="shared" si="18"/>
        <v/>
      </c>
      <c r="D127" s="2" t="str">
        <f t="shared" si="19"/>
        <v/>
      </c>
      <c r="E127" s="8"/>
      <c r="F127" s="2" t="str">
        <f t="shared" si="20"/>
        <v/>
      </c>
      <c r="G127" s="2"/>
      <c r="H127" s="2"/>
      <c r="I127" s="2"/>
      <c r="J127" s="4"/>
      <c r="K127" s="2"/>
      <c r="L127" s="2"/>
      <c r="M127" s="2"/>
      <c r="N127" s="2"/>
      <c r="O127" s="2"/>
      <c r="P127" s="2"/>
      <c r="Q127" s="5" t="str">
        <f t="shared" si="23"/>
        <v/>
      </c>
      <c r="R127" s="2"/>
      <c r="S127" t="str">
        <f t="shared" si="21"/>
        <v/>
      </c>
      <c r="T127" s="10" t="str">
        <f t="shared" si="22"/>
        <v/>
      </c>
    </row>
    <row r="128" spans="1:20">
      <c r="A128" s="2"/>
      <c r="B128" s="3"/>
      <c r="C128" s="2" t="str">
        <f t="shared" si="18"/>
        <v/>
      </c>
      <c r="D128" s="2" t="str">
        <f t="shared" si="19"/>
        <v/>
      </c>
      <c r="E128" s="8"/>
      <c r="F128" s="2" t="str">
        <f t="shared" si="20"/>
        <v/>
      </c>
      <c r="G128" s="2"/>
      <c r="H128" s="2"/>
      <c r="I128" s="2"/>
      <c r="J128" s="4"/>
      <c r="K128" s="2"/>
      <c r="L128" s="2"/>
      <c r="M128" s="2"/>
      <c r="N128" s="2"/>
      <c r="O128" s="2"/>
      <c r="P128" s="2"/>
      <c r="Q128" s="5" t="str">
        <f t="shared" si="23"/>
        <v/>
      </c>
      <c r="R128" s="2"/>
      <c r="S128" t="str">
        <f t="shared" si="21"/>
        <v/>
      </c>
      <c r="T128" s="10" t="str">
        <f t="shared" si="22"/>
        <v/>
      </c>
    </row>
    <row r="129" spans="1:20">
      <c r="A129" s="2"/>
      <c r="B129" s="3"/>
      <c r="C129" s="2" t="str">
        <f t="shared" si="18"/>
        <v/>
      </c>
      <c r="D129" s="2" t="str">
        <f t="shared" si="19"/>
        <v/>
      </c>
      <c r="E129" s="8"/>
      <c r="F129" s="2" t="str">
        <f t="shared" si="20"/>
        <v/>
      </c>
      <c r="G129" s="2"/>
      <c r="H129" s="2"/>
      <c r="I129" s="2"/>
      <c r="J129" s="4"/>
      <c r="K129" s="2"/>
      <c r="L129" s="2"/>
      <c r="M129" s="2"/>
      <c r="N129" s="2"/>
      <c r="O129" s="2"/>
      <c r="P129" s="2"/>
      <c r="Q129" s="5" t="str">
        <f t="shared" si="23"/>
        <v/>
      </c>
      <c r="R129" s="2"/>
      <c r="S129" t="str">
        <f t="shared" si="21"/>
        <v/>
      </c>
      <c r="T129" s="10" t="str">
        <f t="shared" si="22"/>
        <v/>
      </c>
    </row>
    <row r="130" spans="1:20">
      <c r="A130" s="2"/>
      <c r="B130" s="3"/>
      <c r="C130" s="2" t="str">
        <f t="shared" ref="C130:C161" si="24">IF(B130="","",YEAR(B130))</f>
        <v/>
      </c>
      <c r="D130" s="2" t="str">
        <f t="shared" ref="D130:D161" si="25">IF(B130="","",CHOOSE(MONTH(B130),"Január","Február","Marec","Apríl","Máj","Jún","Júl","August","September","Október","November","December"))</f>
        <v/>
      </c>
      <c r="E130" s="8"/>
      <c r="F130" s="2" t="str">
        <f t="shared" ref="F130:F161" si="26">IF(B130="","",MONTH(B130))</f>
        <v/>
      </c>
      <c r="G130" s="2"/>
      <c r="H130" s="2"/>
      <c r="I130" s="2"/>
      <c r="J130" s="4"/>
      <c r="K130" s="2"/>
      <c r="L130" s="2"/>
      <c r="M130" s="2"/>
      <c r="N130" s="2"/>
      <c r="O130" s="2"/>
      <c r="P130" s="2"/>
      <c r="Q130" s="5" t="str">
        <f t="shared" si="23"/>
        <v/>
      </c>
      <c r="R130" s="2"/>
      <c r="S130" t="str">
        <f t="shared" ref="S130:S161" si="27">IF(B130="","",IF(L130="Absolvovaný","Absolvovaný",IF(L130="Zrušený","Zrušený","Plánovaný")))</f>
        <v/>
      </c>
      <c r="T130" s="10" t="str">
        <f t="shared" ref="T130:T161" si="28">IF(Q130="","",Q130/7)</f>
        <v/>
      </c>
    </row>
    <row r="131" spans="1:20">
      <c r="A131" s="2"/>
      <c r="B131" s="3"/>
      <c r="C131" s="2" t="str">
        <f t="shared" si="24"/>
        <v/>
      </c>
      <c r="D131" s="2" t="str">
        <f t="shared" si="25"/>
        <v/>
      </c>
      <c r="E131" s="8"/>
      <c r="F131" s="2" t="str">
        <f t="shared" si="26"/>
        <v/>
      </c>
      <c r="G131" s="2"/>
      <c r="H131" s="2"/>
      <c r="I131" s="2"/>
      <c r="J131" s="4"/>
      <c r="K131" s="2"/>
      <c r="L131" s="2"/>
      <c r="M131" s="2"/>
      <c r="N131" s="2"/>
      <c r="O131" s="2"/>
      <c r="P131" s="2"/>
      <c r="Q131" s="5" t="str">
        <f t="shared" ref="Q131:Q162" si="29">IF(OR(B131="",B130=""),"",B131-B130)</f>
        <v/>
      </c>
      <c r="R131" s="2"/>
      <c r="S131" t="str">
        <f t="shared" si="27"/>
        <v/>
      </c>
      <c r="T131" s="10" t="str">
        <f t="shared" si="28"/>
        <v/>
      </c>
    </row>
    <row r="132" spans="1:20">
      <c r="A132" s="2"/>
      <c r="B132" s="3"/>
      <c r="C132" s="2" t="str">
        <f t="shared" si="24"/>
        <v/>
      </c>
      <c r="D132" s="2" t="str">
        <f t="shared" si="25"/>
        <v/>
      </c>
      <c r="E132" s="8"/>
      <c r="F132" s="2" t="str">
        <f t="shared" si="26"/>
        <v/>
      </c>
      <c r="G132" s="2"/>
      <c r="H132" s="2"/>
      <c r="I132" s="2"/>
      <c r="J132" s="4"/>
      <c r="K132" s="2"/>
      <c r="L132" s="2"/>
      <c r="M132" s="2"/>
      <c r="N132" s="2"/>
      <c r="O132" s="2"/>
      <c r="P132" s="2"/>
      <c r="Q132" s="5" t="str">
        <f t="shared" si="29"/>
        <v/>
      </c>
      <c r="R132" s="2"/>
      <c r="S132" t="str">
        <f t="shared" si="27"/>
        <v/>
      </c>
      <c r="T132" s="10" t="str">
        <f t="shared" si="28"/>
        <v/>
      </c>
    </row>
    <row r="133" spans="1:20">
      <c r="A133" s="2"/>
      <c r="B133" s="3"/>
      <c r="C133" s="2" t="str">
        <f t="shared" si="24"/>
        <v/>
      </c>
      <c r="D133" s="2" t="str">
        <f t="shared" si="25"/>
        <v/>
      </c>
      <c r="E133" s="8"/>
      <c r="F133" s="2" t="str">
        <f t="shared" si="26"/>
        <v/>
      </c>
      <c r="G133" s="2"/>
      <c r="H133" s="2"/>
      <c r="I133" s="2"/>
      <c r="J133" s="4"/>
      <c r="K133" s="2"/>
      <c r="L133" s="2"/>
      <c r="M133" s="2"/>
      <c r="N133" s="2"/>
      <c r="O133" s="2"/>
      <c r="P133" s="2"/>
      <c r="Q133" s="5" t="str">
        <f t="shared" si="29"/>
        <v/>
      </c>
      <c r="R133" s="2"/>
      <c r="S133" t="str">
        <f t="shared" si="27"/>
        <v/>
      </c>
      <c r="T133" s="10" t="str">
        <f t="shared" si="28"/>
        <v/>
      </c>
    </row>
    <row r="134" spans="1:20">
      <c r="A134" s="2"/>
      <c r="B134" s="3"/>
      <c r="C134" s="2" t="str">
        <f t="shared" si="24"/>
        <v/>
      </c>
      <c r="D134" s="2" t="str">
        <f t="shared" si="25"/>
        <v/>
      </c>
      <c r="E134" s="8"/>
      <c r="F134" s="2" t="str">
        <f t="shared" si="26"/>
        <v/>
      </c>
      <c r="G134" s="2"/>
      <c r="H134" s="2"/>
      <c r="I134" s="2"/>
      <c r="J134" s="4"/>
      <c r="K134" s="2"/>
      <c r="L134" s="2"/>
      <c r="M134" s="2"/>
      <c r="N134" s="2"/>
      <c r="O134" s="2"/>
      <c r="P134" s="2"/>
      <c r="Q134" s="5" t="str">
        <f t="shared" si="29"/>
        <v/>
      </c>
      <c r="R134" s="2"/>
      <c r="S134" t="str">
        <f t="shared" si="27"/>
        <v/>
      </c>
      <c r="T134" s="10" t="str">
        <f t="shared" si="28"/>
        <v/>
      </c>
    </row>
    <row r="135" spans="1:20">
      <c r="A135" s="2"/>
      <c r="B135" s="3"/>
      <c r="C135" s="2" t="str">
        <f t="shared" si="24"/>
        <v/>
      </c>
      <c r="D135" s="2" t="str">
        <f t="shared" si="25"/>
        <v/>
      </c>
      <c r="E135" s="8"/>
      <c r="F135" s="2" t="str">
        <f t="shared" si="26"/>
        <v/>
      </c>
      <c r="G135" s="2"/>
      <c r="H135" s="2"/>
      <c r="I135" s="2"/>
      <c r="J135" s="4"/>
      <c r="K135" s="2"/>
      <c r="L135" s="2"/>
      <c r="M135" s="2"/>
      <c r="N135" s="2"/>
      <c r="O135" s="2"/>
      <c r="P135" s="2"/>
      <c r="Q135" s="5" t="str">
        <f t="shared" si="29"/>
        <v/>
      </c>
      <c r="R135" s="2"/>
      <c r="S135" t="str">
        <f t="shared" si="27"/>
        <v/>
      </c>
      <c r="T135" s="10" t="str">
        <f t="shared" si="28"/>
        <v/>
      </c>
    </row>
    <row r="136" spans="1:20">
      <c r="A136" s="2"/>
      <c r="B136" s="3"/>
      <c r="C136" s="2" t="str">
        <f t="shared" si="24"/>
        <v/>
      </c>
      <c r="D136" s="2" t="str">
        <f t="shared" si="25"/>
        <v/>
      </c>
      <c r="E136" s="8"/>
      <c r="F136" s="2" t="str">
        <f t="shared" si="26"/>
        <v/>
      </c>
      <c r="G136" s="2"/>
      <c r="H136" s="2"/>
      <c r="I136" s="2"/>
      <c r="J136" s="4"/>
      <c r="K136" s="2"/>
      <c r="L136" s="2"/>
      <c r="M136" s="2"/>
      <c r="N136" s="2"/>
      <c r="O136" s="2"/>
      <c r="P136" s="2"/>
      <c r="Q136" s="5" t="str">
        <f t="shared" si="29"/>
        <v/>
      </c>
      <c r="R136" s="2"/>
      <c r="S136" t="str">
        <f t="shared" si="27"/>
        <v/>
      </c>
      <c r="T136" s="10" t="str">
        <f t="shared" si="28"/>
        <v/>
      </c>
    </row>
    <row r="137" spans="1:20">
      <c r="A137" s="2"/>
      <c r="B137" s="3"/>
      <c r="C137" s="2" t="str">
        <f t="shared" si="24"/>
        <v/>
      </c>
      <c r="D137" s="2" t="str">
        <f t="shared" si="25"/>
        <v/>
      </c>
      <c r="E137" s="8"/>
      <c r="F137" s="2" t="str">
        <f t="shared" si="26"/>
        <v/>
      </c>
      <c r="G137" s="2"/>
      <c r="H137" s="2"/>
      <c r="I137" s="2"/>
      <c r="J137" s="4"/>
      <c r="K137" s="2"/>
      <c r="L137" s="2"/>
      <c r="M137" s="2"/>
      <c r="N137" s="2"/>
      <c r="O137" s="2"/>
      <c r="P137" s="2"/>
      <c r="Q137" s="5" t="str">
        <f t="shared" si="29"/>
        <v/>
      </c>
      <c r="R137" s="2"/>
      <c r="S137" t="str">
        <f t="shared" si="27"/>
        <v/>
      </c>
      <c r="T137" s="10" t="str">
        <f t="shared" si="28"/>
        <v/>
      </c>
    </row>
    <row r="138" spans="1:20">
      <c r="A138" s="2"/>
      <c r="B138" s="3"/>
      <c r="C138" s="2" t="str">
        <f t="shared" si="24"/>
        <v/>
      </c>
      <c r="D138" s="2" t="str">
        <f t="shared" si="25"/>
        <v/>
      </c>
      <c r="E138" s="8"/>
      <c r="F138" s="2" t="str">
        <f t="shared" si="26"/>
        <v/>
      </c>
      <c r="G138" s="2"/>
      <c r="H138" s="2"/>
      <c r="I138" s="2"/>
      <c r="J138" s="4"/>
      <c r="K138" s="2"/>
      <c r="L138" s="2"/>
      <c r="M138" s="2"/>
      <c r="N138" s="2"/>
      <c r="O138" s="2"/>
      <c r="P138" s="2"/>
      <c r="Q138" s="5" t="str">
        <f t="shared" si="29"/>
        <v/>
      </c>
      <c r="R138" s="2"/>
      <c r="S138" t="str">
        <f t="shared" si="27"/>
        <v/>
      </c>
      <c r="T138" s="10" t="str">
        <f t="shared" si="28"/>
        <v/>
      </c>
    </row>
    <row r="139" spans="1:20">
      <c r="A139" s="2"/>
      <c r="B139" s="3"/>
      <c r="C139" s="2" t="str">
        <f t="shared" si="24"/>
        <v/>
      </c>
      <c r="D139" s="2" t="str">
        <f t="shared" si="25"/>
        <v/>
      </c>
      <c r="E139" s="8"/>
      <c r="F139" s="2" t="str">
        <f t="shared" si="26"/>
        <v/>
      </c>
      <c r="G139" s="2"/>
      <c r="H139" s="2"/>
      <c r="I139" s="2"/>
      <c r="J139" s="4"/>
      <c r="K139" s="2"/>
      <c r="L139" s="2"/>
      <c r="M139" s="2"/>
      <c r="N139" s="2"/>
      <c r="O139" s="2"/>
      <c r="P139" s="2"/>
      <c r="Q139" s="5" t="str">
        <f t="shared" si="29"/>
        <v/>
      </c>
      <c r="R139" s="2"/>
      <c r="S139" t="str">
        <f t="shared" si="27"/>
        <v/>
      </c>
      <c r="T139" s="10" t="str">
        <f t="shared" si="28"/>
        <v/>
      </c>
    </row>
    <row r="140" spans="1:20">
      <c r="A140" s="2"/>
      <c r="B140" s="3"/>
      <c r="C140" s="2" t="str">
        <f t="shared" si="24"/>
        <v/>
      </c>
      <c r="D140" s="2" t="str">
        <f t="shared" si="25"/>
        <v/>
      </c>
      <c r="E140" s="8"/>
      <c r="F140" s="2" t="str">
        <f t="shared" si="26"/>
        <v/>
      </c>
      <c r="G140" s="2"/>
      <c r="H140" s="2"/>
      <c r="I140" s="2"/>
      <c r="J140" s="4"/>
      <c r="K140" s="2"/>
      <c r="L140" s="2"/>
      <c r="M140" s="2"/>
      <c r="N140" s="2"/>
      <c r="O140" s="2"/>
      <c r="P140" s="2"/>
      <c r="Q140" s="5" t="str">
        <f t="shared" si="29"/>
        <v/>
      </c>
      <c r="R140" s="2"/>
      <c r="S140" t="str">
        <f t="shared" si="27"/>
        <v/>
      </c>
      <c r="T140" s="10" t="str">
        <f t="shared" si="28"/>
        <v/>
      </c>
    </row>
    <row r="141" spans="1:20">
      <c r="A141" s="2"/>
      <c r="B141" s="3"/>
      <c r="C141" s="2" t="str">
        <f t="shared" si="24"/>
        <v/>
      </c>
      <c r="D141" s="2" t="str">
        <f t="shared" si="25"/>
        <v/>
      </c>
      <c r="E141" s="8"/>
      <c r="F141" s="2" t="str">
        <f t="shared" si="26"/>
        <v/>
      </c>
      <c r="G141" s="2"/>
      <c r="H141" s="2"/>
      <c r="I141" s="2"/>
      <c r="J141" s="4"/>
      <c r="K141" s="2"/>
      <c r="L141" s="2"/>
      <c r="M141" s="2"/>
      <c r="N141" s="2"/>
      <c r="O141" s="2"/>
      <c r="P141" s="2"/>
      <c r="Q141" s="5" t="str">
        <f t="shared" si="29"/>
        <v/>
      </c>
      <c r="R141" s="2"/>
      <c r="S141" t="str">
        <f t="shared" si="27"/>
        <v/>
      </c>
      <c r="T141" s="10" t="str">
        <f t="shared" si="28"/>
        <v/>
      </c>
    </row>
    <row r="142" spans="1:20">
      <c r="A142" s="2"/>
      <c r="B142" s="3"/>
      <c r="C142" s="2" t="str">
        <f t="shared" si="24"/>
        <v/>
      </c>
      <c r="D142" s="2" t="str">
        <f t="shared" si="25"/>
        <v/>
      </c>
      <c r="E142" s="8"/>
      <c r="F142" s="2" t="str">
        <f t="shared" si="26"/>
        <v/>
      </c>
      <c r="G142" s="2"/>
      <c r="H142" s="2"/>
      <c r="I142" s="2"/>
      <c r="J142" s="4"/>
      <c r="K142" s="2"/>
      <c r="L142" s="2"/>
      <c r="M142" s="2"/>
      <c r="N142" s="2"/>
      <c r="O142" s="2"/>
      <c r="P142" s="2"/>
      <c r="Q142" s="5" t="str">
        <f t="shared" si="29"/>
        <v/>
      </c>
      <c r="R142" s="2"/>
      <c r="S142" t="str">
        <f t="shared" si="27"/>
        <v/>
      </c>
      <c r="T142" s="10" t="str">
        <f t="shared" si="28"/>
        <v/>
      </c>
    </row>
    <row r="143" spans="1:20">
      <c r="A143" s="2"/>
      <c r="B143" s="3"/>
      <c r="C143" s="2" t="str">
        <f t="shared" si="24"/>
        <v/>
      </c>
      <c r="D143" s="2" t="str">
        <f t="shared" si="25"/>
        <v/>
      </c>
      <c r="E143" s="8"/>
      <c r="F143" s="2" t="str">
        <f t="shared" si="26"/>
        <v/>
      </c>
      <c r="G143" s="2"/>
      <c r="H143" s="2"/>
      <c r="I143" s="2"/>
      <c r="J143" s="4"/>
      <c r="K143" s="2"/>
      <c r="L143" s="2"/>
      <c r="M143" s="2"/>
      <c r="N143" s="2"/>
      <c r="O143" s="2"/>
      <c r="P143" s="2"/>
      <c r="Q143" s="5" t="str">
        <f t="shared" si="29"/>
        <v/>
      </c>
      <c r="R143" s="2"/>
      <c r="S143" t="str">
        <f t="shared" si="27"/>
        <v/>
      </c>
      <c r="T143" s="10" t="str">
        <f t="shared" si="28"/>
        <v/>
      </c>
    </row>
    <row r="144" spans="1:20">
      <c r="A144" s="2"/>
      <c r="B144" s="3"/>
      <c r="C144" s="2" t="str">
        <f t="shared" si="24"/>
        <v/>
      </c>
      <c r="D144" s="2" t="str">
        <f t="shared" si="25"/>
        <v/>
      </c>
      <c r="E144" s="8"/>
      <c r="F144" s="2" t="str">
        <f t="shared" si="26"/>
        <v/>
      </c>
      <c r="G144" s="2"/>
      <c r="H144" s="2"/>
      <c r="I144" s="2"/>
      <c r="J144" s="4"/>
      <c r="K144" s="2"/>
      <c r="L144" s="2"/>
      <c r="M144" s="2"/>
      <c r="N144" s="2"/>
      <c r="O144" s="2"/>
      <c r="P144" s="2"/>
      <c r="Q144" s="5" t="str">
        <f t="shared" si="29"/>
        <v/>
      </c>
      <c r="R144" s="2"/>
      <c r="S144" t="str">
        <f t="shared" si="27"/>
        <v/>
      </c>
      <c r="T144" s="10" t="str">
        <f t="shared" si="28"/>
        <v/>
      </c>
    </row>
    <row r="145" spans="1:20">
      <c r="A145" s="2"/>
      <c r="B145" s="3"/>
      <c r="C145" s="2" t="str">
        <f t="shared" si="24"/>
        <v/>
      </c>
      <c r="D145" s="2" t="str">
        <f t="shared" si="25"/>
        <v/>
      </c>
      <c r="E145" s="8"/>
      <c r="F145" s="2" t="str">
        <f t="shared" si="26"/>
        <v/>
      </c>
      <c r="G145" s="2"/>
      <c r="H145" s="2"/>
      <c r="I145" s="2"/>
      <c r="J145" s="4"/>
      <c r="K145" s="2"/>
      <c r="L145" s="2"/>
      <c r="M145" s="2"/>
      <c r="N145" s="2"/>
      <c r="O145" s="2"/>
      <c r="P145" s="2"/>
      <c r="Q145" s="5" t="str">
        <f t="shared" si="29"/>
        <v/>
      </c>
      <c r="R145" s="2"/>
      <c r="S145" t="str">
        <f t="shared" si="27"/>
        <v/>
      </c>
      <c r="T145" s="10" t="str">
        <f t="shared" si="28"/>
        <v/>
      </c>
    </row>
    <row r="146" spans="1:20">
      <c r="A146" s="2"/>
      <c r="B146" s="3"/>
      <c r="C146" s="2" t="str">
        <f t="shared" si="24"/>
        <v/>
      </c>
      <c r="D146" s="2" t="str">
        <f t="shared" si="25"/>
        <v/>
      </c>
      <c r="E146" s="8"/>
      <c r="F146" s="2" t="str">
        <f t="shared" si="26"/>
        <v/>
      </c>
      <c r="G146" s="2"/>
      <c r="H146" s="2"/>
      <c r="I146" s="2"/>
      <c r="J146" s="4"/>
      <c r="K146" s="2"/>
      <c r="L146" s="2"/>
      <c r="M146" s="2"/>
      <c r="N146" s="2"/>
      <c r="O146" s="2"/>
      <c r="P146" s="2"/>
      <c r="Q146" s="5" t="str">
        <f t="shared" si="29"/>
        <v/>
      </c>
      <c r="R146" s="2"/>
      <c r="S146" t="str">
        <f t="shared" si="27"/>
        <v/>
      </c>
      <c r="T146" s="10" t="str">
        <f t="shared" si="28"/>
        <v/>
      </c>
    </row>
    <row r="147" spans="1:20">
      <c r="A147" s="2"/>
      <c r="B147" s="3"/>
      <c r="C147" s="2" t="str">
        <f t="shared" si="24"/>
        <v/>
      </c>
      <c r="D147" s="2" t="str">
        <f t="shared" si="25"/>
        <v/>
      </c>
      <c r="E147" s="8"/>
      <c r="F147" s="2" t="str">
        <f t="shared" si="26"/>
        <v/>
      </c>
      <c r="G147" s="2"/>
      <c r="H147" s="2"/>
      <c r="I147" s="2"/>
      <c r="J147" s="4"/>
      <c r="K147" s="2"/>
      <c r="L147" s="2"/>
      <c r="M147" s="2"/>
      <c r="N147" s="2"/>
      <c r="O147" s="2"/>
      <c r="P147" s="2"/>
      <c r="Q147" s="5" t="str">
        <f t="shared" si="29"/>
        <v/>
      </c>
      <c r="R147" s="2"/>
      <c r="S147" t="str">
        <f t="shared" si="27"/>
        <v/>
      </c>
      <c r="T147" s="10" t="str">
        <f t="shared" si="28"/>
        <v/>
      </c>
    </row>
    <row r="148" spans="1:20">
      <c r="A148" s="2"/>
      <c r="B148" s="3"/>
      <c r="C148" s="2" t="str">
        <f t="shared" si="24"/>
        <v/>
      </c>
      <c r="D148" s="2" t="str">
        <f t="shared" si="25"/>
        <v/>
      </c>
      <c r="E148" s="8"/>
      <c r="F148" s="2" t="str">
        <f t="shared" si="26"/>
        <v/>
      </c>
      <c r="G148" s="2"/>
      <c r="H148" s="2"/>
      <c r="I148" s="2"/>
      <c r="J148" s="4"/>
      <c r="K148" s="2"/>
      <c r="L148" s="2"/>
      <c r="M148" s="2"/>
      <c r="N148" s="2"/>
      <c r="O148" s="2"/>
      <c r="P148" s="2"/>
      <c r="Q148" s="5" t="str">
        <f t="shared" si="29"/>
        <v/>
      </c>
      <c r="R148" s="2"/>
      <c r="S148" t="str">
        <f t="shared" si="27"/>
        <v/>
      </c>
      <c r="T148" s="10" t="str">
        <f t="shared" si="28"/>
        <v/>
      </c>
    </row>
    <row r="149" spans="1:20">
      <c r="A149" s="2"/>
      <c r="B149" s="3"/>
      <c r="C149" s="2" t="str">
        <f t="shared" si="24"/>
        <v/>
      </c>
      <c r="D149" s="2" t="str">
        <f t="shared" si="25"/>
        <v/>
      </c>
      <c r="E149" s="8"/>
      <c r="F149" s="2" t="str">
        <f t="shared" si="26"/>
        <v/>
      </c>
      <c r="G149" s="2"/>
      <c r="H149" s="2"/>
      <c r="I149" s="2"/>
      <c r="J149" s="4"/>
      <c r="K149" s="2"/>
      <c r="L149" s="2"/>
      <c r="M149" s="2"/>
      <c r="N149" s="2"/>
      <c r="O149" s="2"/>
      <c r="P149" s="2"/>
      <c r="Q149" s="5" t="str">
        <f t="shared" si="29"/>
        <v/>
      </c>
      <c r="R149" s="2"/>
      <c r="S149" t="str">
        <f t="shared" si="27"/>
        <v/>
      </c>
      <c r="T149" s="10" t="str">
        <f t="shared" si="28"/>
        <v/>
      </c>
    </row>
    <row r="150" spans="1:20">
      <c r="A150" s="2"/>
      <c r="B150" s="3"/>
      <c r="C150" s="2" t="str">
        <f t="shared" si="24"/>
        <v/>
      </c>
      <c r="D150" s="2" t="str">
        <f t="shared" si="25"/>
        <v/>
      </c>
      <c r="E150" s="8"/>
      <c r="F150" s="2" t="str">
        <f t="shared" si="26"/>
        <v/>
      </c>
      <c r="G150" s="2"/>
      <c r="H150" s="2"/>
      <c r="I150" s="2"/>
      <c r="J150" s="4"/>
      <c r="K150" s="2"/>
      <c r="L150" s="2"/>
      <c r="M150" s="2"/>
      <c r="N150" s="2"/>
      <c r="O150" s="2"/>
      <c r="P150" s="2"/>
      <c r="Q150" s="5" t="str">
        <f t="shared" si="29"/>
        <v/>
      </c>
      <c r="R150" s="2"/>
      <c r="S150" t="str">
        <f t="shared" si="27"/>
        <v/>
      </c>
      <c r="T150" s="10" t="str">
        <f t="shared" si="28"/>
        <v/>
      </c>
    </row>
    <row r="151" spans="1:20">
      <c r="A151" s="2"/>
      <c r="B151" s="3"/>
      <c r="C151" s="2" t="str">
        <f t="shared" si="24"/>
        <v/>
      </c>
      <c r="D151" s="2" t="str">
        <f t="shared" si="25"/>
        <v/>
      </c>
      <c r="E151" s="8"/>
      <c r="F151" s="2" t="str">
        <f t="shared" si="26"/>
        <v/>
      </c>
      <c r="G151" s="2"/>
      <c r="H151" s="2"/>
      <c r="I151" s="2"/>
      <c r="J151" s="4"/>
      <c r="K151" s="2"/>
      <c r="L151" s="2"/>
      <c r="M151" s="2"/>
      <c r="N151" s="2"/>
      <c r="O151" s="2"/>
      <c r="P151" s="2"/>
      <c r="Q151" s="5" t="str">
        <f t="shared" si="29"/>
        <v/>
      </c>
      <c r="R151" s="2"/>
      <c r="S151" t="str">
        <f t="shared" si="27"/>
        <v/>
      </c>
      <c r="T151" s="10" t="str">
        <f t="shared" si="28"/>
        <v/>
      </c>
    </row>
    <row r="152" spans="1:20">
      <c r="A152" s="2"/>
      <c r="B152" s="3"/>
      <c r="C152" s="2" t="str">
        <f t="shared" si="24"/>
        <v/>
      </c>
      <c r="D152" s="2" t="str">
        <f t="shared" si="25"/>
        <v/>
      </c>
      <c r="E152" s="8"/>
      <c r="F152" s="2" t="str">
        <f t="shared" si="26"/>
        <v/>
      </c>
      <c r="G152" s="2"/>
      <c r="H152" s="2"/>
      <c r="I152" s="2"/>
      <c r="J152" s="4"/>
      <c r="K152" s="2"/>
      <c r="L152" s="2"/>
      <c r="M152" s="2"/>
      <c r="N152" s="2"/>
      <c r="O152" s="2"/>
      <c r="P152" s="2"/>
      <c r="Q152" s="5" t="str">
        <f t="shared" si="29"/>
        <v/>
      </c>
      <c r="R152" s="2"/>
      <c r="S152" t="str">
        <f t="shared" si="27"/>
        <v/>
      </c>
      <c r="T152" s="10" t="str">
        <f t="shared" si="28"/>
        <v/>
      </c>
    </row>
    <row r="153" spans="1:20">
      <c r="A153" s="2"/>
      <c r="B153" s="3"/>
      <c r="C153" s="2" t="str">
        <f t="shared" si="24"/>
        <v/>
      </c>
      <c r="D153" s="2" t="str">
        <f t="shared" si="25"/>
        <v/>
      </c>
      <c r="E153" s="8"/>
      <c r="F153" s="2" t="str">
        <f t="shared" si="26"/>
        <v/>
      </c>
      <c r="G153" s="2"/>
      <c r="H153" s="2"/>
      <c r="I153" s="2"/>
      <c r="J153" s="4"/>
      <c r="K153" s="2"/>
      <c r="L153" s="2"/>
      <c r="M153" s="2"/>
      <c r="N153" s="2"/>
      <c r="O153" s="2"/>
      <c r="P153" s="2"/>
      <c r="Q153" s="5" t="str">
        <f t="shared" si="29"/>
        <v/>
      </c>
      <c r="R153" s="2"/>
      <c r="S153" t="str">
        <f t="shared" si="27"/>
        <v/>
      </c>
      <c r="T153" s="10" t="str">
        <f t="shared" si="28"/>
        <v/>
      </c>
    </row>
    <row r="154" spans="1:20">
      <c r="A154" s="2"/>
      <c r="B154" s="3"/>
      <c r="C154" s="2" t="str">
        <f t="shared" si="24"/>
        <v/>
      </c>
      <c r="D154" s="2" t="str">
        <f t="shared" si="25"/>
        <v/>
      </c>
      <c r="E154" s="8"/>
      <c r="F154" s="2" t="str">
        <f t="shared" si="26"/>
        <v/>
      </c>
      <c r="G154" s="2"/>
      <c r="H154" s="2"/>
      <c r="I154" s="2"/>
      <c r="J154" s="4"/>
      <c r="K154" s="2"/>
      <c r="L154" s="2"/>
      <c r="M154" s="2"/>
      <c r="N154" s="2"/>
      <c r="O154" s="2"/>
      <c r="P154" s="2"/>
      <c r="Q154" s="5" t="str">
        <f t="shared" si="29"/>
        <v/>
      </c>
      <c r="R154" s="2"/>
      <c r="S154" t="str">
        <f t="shared" si="27"/>
        <v/>
      </c>
      <c r="T154" s="10" t="str">
        <f t="shared" si="28"/>
        <v/>
      </c>
    </row>
    <row r="155" spans="1:20">
      <c r="A155" s="2"/>
      <c r="B155" s="3"/>
      <c r="C155" s="2" t="str">
        <f t="shared" si="24"/>
        <v/>
      </c>
      <c r="D155" s="2" t="str">
        <f t="shared" si="25"/>
        <v/>
      </c>
      <c r="E155" s="8"/>
      <c r="F155" s="2" t="str">
        <f t="shared" si="26"/>
        <v/>
      </c>
      <c r="G155" s="2"/>
      <c r="H155" s="2"/>
      <c r="I155" s="2"/>
      <c r="J155" s="4"/>
      <c r="K155" s="2"/>
      <c r="L155" s="2"/>
      <c r="M155" s="2"/>
      <c r="N155" s="2"/>
      <c r="O155" s="2"/>
      <c r="P155" s="2"/>
      <c r="Q155" s="5" t="str">
        <f t="shared" si="29"/>
        <v/>
      </c>
      <c r="R155" s="2"/>
      <c r="S155" t="str">
        <f t="shared" si="27"/>
        <v/>
      </c>
      <c r="T155" s="10" t="str">
        <f t="shared" si="28"/>
        <v/>
      </c>
    </row>
    <row r="156" spans="1:20">
      <c r="A156" s="2"/>
      <c r="B156" s="3"/>
      <c r="C156" s="2" t="str">
        <f t="shared" si="24"/>
        <v/>
      </c>
      <c r="D156" s="2" t="str">
        <f t="shared" si="25"/>
        <v/>
      </c>
      <c r="E156" s="8"/>
      <c r="F156" s="2" t="str">
        <f t="shared" si="26"/>
        <v/>
      </c>
      <c r="G156" s="2"/>
      <c r="H156" s="2"/>
      <c r="I156" s="2"/>
      <c r="J156" s="4"/>
      <c r="K156" s="2"/>
      <c r="L156" s="2"/>
      <c r="M156" s="2"/>
      <c r="N156" s="2"/>
      <c r="O156" s="2"/>
      <c r="P156" s="2"/>
      <c r="Q156" s="5" t="str">
        <f t="shared" si="29"/>
        <v/>
      </c>
      <c r="R156" s="2"/>
      <c r="S156" t="str">
        <f t="shared" si="27"/>
        <v/>
      </c>
      <c r="T156" s="10" t="str">
        <f t="shared" si="28"/>
        <v/>
      </c>
    </row>
    <row r="157" spans="1:20">
      <c r="A157" s="2"/>
      <c r="B157" s="3"/>
      <c r="C157" s="2" t="str">
        <f t="shared" si="24"/>
        <v/>
      </c>
      <c r="D157" s="2" t="str">
        <f t="shared" si="25"/>
        <v/>
      </c>
      <c r="E157" s="8"/>
      <c r="F157" s="2" t="str">
        <f t="shared" si="26"/>
        <v/>
      </c>
      <c r="G157" s="2"/>
      <c r="H157" s="2"/>
      <c r="I157" s="2"/>
      <c r="J157" s="4"/>
      <c r="K157" s="2"/>
      <c r="L157" s="2"/>
      <c r="M157" s="2"/>
      <c r="N157" s="2"/>
      <c r="O157" s="2"/>
      <c r="P157" s="2"/>
      <c r="Q157" s="5" t="str">
        <f t="shared" si="29"/>
        <v/>
      </c>
      <c r="R157" s="2"/>
      <c r="S157" t="str">
        <f t="shared" si="27"/>
        <v/>
      </c>
      <c r="T157" s="10" t="str">
        <f t="shared" si="28"/>
        <v/>
      </c>
    </row>
    <row r="158" spans="1:20">
      <c r="A158" s="2"/>
      <c r="B158" s="3"/>
      <c r="C158" s="2" t="str">
        <f t="shared" si="24"/>
        <v/>
      </c>
      <c r="D158" s="2" t="str">
        <f t="shared" si="25"/>
        <v/>
      </c>
      <c r="E158" s="8"/>
      <c r="F158" s="2" t="str">
        <f t="shared" si="26"/>
        <v/>
      </c>
      <c r="G158" s="2"/>
      <c r="H158" s="2"/>
      <c r="I158" s="2"/>
      <c r="J158" s="4"/>
      <c r="K158" s="2"/>
      <c r="L158" s="2"/>
      <c r="M158" s="2"/>
      <c r="N158" s="2"/>
      <c r="O158" s="2"/>
      <c r="P158" s="2"/>
      <c r="Q158" s="5" t="str">
        <f t="shared" si="29"/>
        <v/>
      </c>
      <c r="R158" s="2"/>
      <c r="S158" t="str">
        <f t="shared" si="27"/>
        <v/>
      </c>
      <c r="T158" s="10" t="str">
        <f t="shared" si="28"/>
        <v/>
      </c>
    </row>
    <row r="159" spans="1:20">
      <c r="A159" s="2"/>
      <c r="B159" s="3"/>
      <c r="C159" s="2" t="str">
        <f t="shared" si="24"/>
        <v/>
      </c>
      <c r="D159" s="2" t="str">
        <f t="shared" si="25"/>
        <v/>
      </c>
      <c r="E159" s="8"/>
      <c r="F159" s="2" t="str">
        <f t="shared" si="26"/>
        <v/>
      </c>
      <c r="G159" s="2"/>
      <c r="H159" s="2"/>
      <c r="I159" s="2"/>
      <c r="J159" s="4"/>
      <c r="K159" s="2"/>
      <c r="L159" s="2"/>
      <c r="M159" s="2"/>
      <c r="N159" s="2"/>
      <c r="O159" s="2"/>
      <c r="P159" s="2"/>
      <c r="Q159" s="5" t="str">
        <f t="shared" si="29"/>
        <v/>
      </c>
      <c r="R159" s="2"/>
      <c r="S159" t="str">
        <f t="shared" si="27"/>
        <v/>
      </c>
      <c r="T159" s="10" t="str">
        <f t="shared" si="28"/>
        <v/>
      </c>
    </row>
    <row r="160" spans="1:20">
      <c r="A160" s="2"/>
      <c r="B160" s="3"/>
      <c r="C160" s="2" t="str">
        <f t="shared" si="24"/>
        <v/>
      </c>
      <c r="D160" s="2" t="str">
        <f t="shared" si="25"/>
        <v/>
      </c>
      <c r="E160" s="8"/>
      <c r="F160" s="2" t="str">
        <f t="shared" si="26"/>
        <v/>
      </c>
      <c r="G160" s="2"/>
      <c r="H160" s="2"/>
      <c r="I160" s="2"/>
      <c r="J160" s="4"/>
      <c r="K160" s="2"/>
      <c r="L160" s="2"/>
      <c r="M160" s="2"/>
      <c r="N160" s="2"/>
      <c r="O160" s="2"/>
      <c r="P160" s="2"/>
      <c r="Q160" s="5" t="str">
        <f t="shared" si="29"/>
        <v/>
      </c>
      <c r="R160" s="2"/>
      <c r="S160" t="str">
        <f t="shared" si="27"/>
        <v/>
      </c>
      <c r="T160" s="10" t="str">
        <f t="shared" si="28"/>
        <v/>
      </c>
    </row>
    <row r="161" spans="1:20">
      <c r="A161" s="2"/>
      <c r="B161" s="3"/>
      <c r="C161" s="2" t="str">
        <f t="shared" si="24"/>
        <v/>
      </c>
      <c r="D161" s="2" t="str">
        <f t="shared" si="25"/>
        <v/>
      </c>
      <c r="E161" s="8"/>
      <c r="F161" s="2" t="str">
        <f t="shared" si="26"/>
        <v/>
      </c>
      <c r="G161" s="2"/>
      <c r="H161" s="2"/>
      <c r="I161" s="2"/>
      <c r="J161" s="4"/>
      <c r="K161" s="2"/>
      <c r="L161" s="2"/>
      <c r="M161" s="2"/>
      <c r="N161" s="2"/>
      <c r="O161" s="2"/>
      <c r="P161" s="2"/>
      <c r="Q161" s="5" t="str">
        <f t="shared" si="29"/>
        <v/>
      </c>
      <c r="R161" s="2"/>
      <c r="S161" t="str">
        <f t="shared" si="27"/>
        <v/>
      </c>
      <c r="T161" s="10" t="str">
        <f t="shared" si="28"/>
        <v/>
      </c>
    </row>
    <row r="162" spans="1:20">
      <c r="A162" s="2"/>
      <c r="B162" s="3"/>
      <c r="C162" s="2" t="str">
        <f t="shared" ref="C162:C193" si="30">IF(B162="","",YEAR(B162))</f>
        <v/>
      </c>
      <c r="D162" s="2" t="str">
        <f t="shared" ref="D162:D193" si="31">IF(B162="","",CHOOSE(MONTH(B162),"Január","Február","Marec","Apríl","Máj","Jún","Júl","August","September","Október","November","December"))</f>
        <v/>
      </c>
      <c r="E162" s="8"/>
      <c r="F162" s="2" t="str">
        <f t="shared" ref="F162:F193" si="32">IF(B162="","",MONTH(B162))</f>
        <v/>
      </c>
      <c r="G162" s="2"/>
      <c r="H162" s="2"/>
      <c r="I162" s="2"/>
      <c r="J162" s="4"/>
      <c r="K162" s="2"/>
      <c r="L162" s="2"/>
      <c r="M162" s="2"/>
      <c r="N162" s="2"/>
      <c r="O162" s="2"/>
      <c r="P162" s="2"/>
      <c r="Q162" s="5" t="str">
        <f t="shared" si="29"/>
        <v/>
      </c>
      <c r="R162" s="2"/>
      <c r="S162" t="str">
        <f t="shared" ref="S162:S193" si="33">IF(B162="","",IF(L162="Absolvovaný","Absolvovaný",IF(L162="Zrušený","Zrušený","Plánovaný")))</f>
        <v/>
      </c>
      <c r="T162" s="10" t="str">
        <f t="shared" ref="T162:T193" si="34">IF(Q162="","",Q162/7)</f>
        <v/>
      </c>
    </row>
    <row r="163" spans="1:20">
      <c r="A163" s="2"/>
      <c r="B163" s="3"/>
      <c r="C163" s="2" t="str">
        <f t="shared" si="30"/>
        <v/>
      </c>
      <c r="D163" s="2" t="str">
        <f t="shared" si="31"/>
        <v/>
      </c>
      <c r="E163" s="8"/>
      <c r="F163" s="2" t="str">
        <f t="shared" si="32"/>
        <v/>
      </c>
      <c r="G163" s="2"/>
      <c r="H163" s="2"/>
      <c r="I163" s="2"/>
      <c r="J163" s="4"/>
      <c r="K163" s="2"/>
      <c r="L163" s="2"/>
      <c r="M163" s="2"/>
      <c r="N163" s="2"/>
      <c r="O163" s="2"/>
      <c r="P163" s="2"/>
      <c r="Q163" s="5" t="str">
        <f t="shared" ref="Q163:Q194" si="35">IF(OR(B163="",B162=""),"",B163-B162)</f>
        <v/>
      </c>
      <c r="R163" s="2"/>
      <c r="S163" t="str">
        <f t="shared" si="33"/>
        <v/>
      </c>
      <c r="T163" s="10" t="str">
        <f t="shared" si="34"/>
        <v/>
      </c>
    </row>
    <row r="164" spans="1:20">
      <c r="A164" s="2"/>
      <c r="B164" s="3"/>
      <c r="C164" s="2" t="str">
        <f t="shared" si="30"/>
        <v/>
      </c>
      <c r="D164" s="2" t="str">
        <f t="shared" si="31"/>
        <v/>
      </c>
      <c r="E164" s="8"/>
      <c r="F164" s="2" t="str">
        <f t="shared" si="32"/>
        <v/>
      </c>
      <c r="G164" s="2"/>
      <c r="H164" s="2"/>
      <c r="I164" s="2"/>
      <c r="J164" s="4"/>
      <c r="K164" s="2"/>
      <c r="L164" s="2"/>
      <c r="M164" s="2"/>
      <c r="N164" s="2"/>
      <c r="O164" s="2"/>
      <c r="P164" s="2"/>
      <c r="Q164" s="5" t="str">
        <f t="shared" si="35"/>
        <v/>
      </c>
      <c r="R164" s="2"/>
      <c r="S164" t="str">
        <f t="shared" si="33"/>
        <v/>
      </c>
      <c r="T164" s="10" t="str">
        <f t="shared" si="34"/>
        <v/>
      </c>
    </row>
    <row r="165" spans="1:20">
      <c r="A165" s="2"/>
      <c r="B165" s="3"/>
      <c r="C165" s="2" t="str">
        <f t="shared" si="30"/>
        <v/>
      </c>
      <c r="D165" s="2" t="str">
        <f t="shared" si="31"/>
        <v/>
      </c>
      <c r="E165" s="8"/>
      <c r="F165" s="2" t="str">
        <f t="shared" si="32"/>
        <v/>
      </c>
      <c r="G165" s="2"/>
      <c r="H165" s="2"/>
      <c r="I165" s="2"/>
      <c r="J165" s="4"/>
      <c r="K165" s="2"/>
      <c r="L165" s="2"/>
      <c r="M165" s="2"/>
      <c r="N165" s="2"/>
      <c r="O165" s="2"/>
      <c r="P165" s="2"/>
      <c r="Q165" s="5" t="str">
        <f t="shared" si="35"/>
        <v/>
      </c>
      <c r="R165" s="2"/>
      <c r="S165" t="str">
        <f t="shared" si="33"/>
        <v/>
      </c>
      <c r="T165" s="10" t="str">
        <f t="shared" si="34"/>
        <v/>
      </c>
    </row>
    <row r="166" spans="1:20">
      <c r="A166" s="2"/>
      <c r="B166" s="3"/>
      <c r="C166" s="2" t="str">
        <f t="shared" si="30"/>
        <v/>
      </c>
      <c r="D166" s="2" t="str">
        <f t="shared" si="31"/>
        <v/>
      </c>
      <c r="E166" s="8"/>
      <c r="F166" s="2" t="str">
        <f t="shared" si="32"/>
        <v/>
      </c>
      <c r="G166" s="2"/>
      <c r="H166" s="2"/>
      <c r="I166" s="2"/>
      <c r="J166" s="4"/>
      <c r="K166" s="2"/>
      <c r="L166" s="2"/>
      <c r="M166" s="2"/>
      <c r="N166" s="2"/>
      <c r="O166" s="2"/>
      <c r="P166" s="2"/>
      <c r="Q166" s="5" t="str">
        <f t="shared" si="35"/>
        <v/>
      </c>
      <c r="R166" s="2"/>
      <c r="S166" t="str">
        <f t="shared" si="33"/>
        <v/>
      </c>
      <c r="T166" s="10" t="str">
        <f t="shared" si="34"/>
        <v/>
      </c>
    </row>
    <row r="167" spans="1:20">
      <c r="A167" s="2"/>
      <c r="B167" s="3"/>
      <c r="C167" s="2" t="str">
        <f t="shared" si="30"/>
        <v/>
      </c>
      <c r="D167" s="2" t="str">
        <f t="shared" si="31"/>
        <v/>
      </c>
      <c r="E167" s="8"/>
      <c r="F167" s="2" t="str">
        <f t="shared" si="32"/>
        <v/>
      </c>
      <c r="G167" s="2"/>
      <c r="H167" s="2"/>
      <c r="I167" s="2"/>
      <c r="J167" s="4"/>
      <c r="K167" s="2"/>
      <c r="L167" s="2"/>
      <c r="M167" s="2"/>
      <c r="N167" s="2"/>
      <c r="O167" s="2"/>
      <c r="P167" s="2"/>
      <c r="Q167" s="5" t="str">
        <f t="shared" si="35"/>
        <v/>
      </c>
      <c r="R167" s="2"/>
      <c r="S167" t="str">
        <f t="shared" si="33"/>
        <v/>
      </c>
      <c r="T167" s="10" t="str">
        <f t="shared" si="34"/>
        <v/>
      </c>
    </row>
    <row r="168" spans="1:20">
      <c r="A168" s="2"/>
      <c r="B168" s="3"/>
      <c r="C168" s="2" t="str">
        <f t="shared" si="30"/>
        <v/>
      </c>
      <c r="D168" s="2" t="str">
        <f t="shared" si="31"/>
        <v/>
      </c>
      <c r="E168" s="8"/>
      <c r="F168" s="2" t="str">
        <f t="shared" si="32"/>
        <v/>
      </c>
      <c r="G168" s="2"/>
      <c r="H168" s="2"/>
      <c r="I168" s="2"/>
      <c r="J168" s="4"/>
      <c r="K168" s="2"/>
      <c r="L168" s="2"/>
      <c r="M168" s="2"/>
      <c r="N168" s="2"/>
      <c r="O168" s="2"/>
      <c r="P168" s="2"/>
      <c r="Q168" s="5" t="str">
        <f t="shared" si="35"/>
        <v/>
      </c>
      <c r="R168" s="2"/>
      <c r="S168" t="str">
        <f t="shared" si="33"/>
        <v/>
      </c>
      <c r="T168" s="10" t="str">
        <f t="shared" si="34"/>
        <v/>
      </c>
    </row>
    <row r="169" spans="1:20">
      <c r="A169" s="2"/>
      <c r="B169" s="3"/>
      <c r="C169" s="2" t="str">
        <f t="shared" si="30"/>
        <v/>
      </c>
      <c r="D169" s="2" t="str">
        <f t="shared" si="31"/>
        <v/>
      </c>
      <c r="E169" s="8"/>
      <c r="F169" s="2" t="str">
        <f t="shared" si="32"/>
        <v/>
      </c>
      <c r="G169" s="2"/>
      <c r="H169" s="2"/>
      <c r="I169" s="2"/>
      <c r="J169" s="4"/>
      <c r="K169" s="2"/>
      <c r="L169" s="2"/>
      <c r="M169" s="2"/>
      <c r="N169" s="2"/>
      <c r="O169" s="2"/>
      <c r="P169" s="2"/>
      <c r="Q169" s="5" t="str">
        <f t="shared" si="35"/>
        <v/>
      </c>
      <c r="R169" s="2"/>
      <c r="S169" t="str">
        <f t="shared" si="33"/>
        <v/>
      </c>
      <c r="T169" s="10" t="str">
        <f t="shared" si="34"/>
        <v/>
      </c>
    </row>
    <row r="170" spans="1:20">
      <c r="A170" s="2"/>
      <c r="B170" s="3"/>
      <c r="C170" s="2" t="str">
        <f t="shared" si="30"/>
        <v/>
      </c>
      <c r="D170" s="2" t="str">
        <f t="shared" si="31"/>
        <v/>
      </c>
      <c r="E170" s="8"/>
      <c r="F170" s="2" t="str">
        <f t="shared" si="32"/>
        <v/>
      </c>
      <c r="G170" s="2"/>
      <c r="H170" s="2"/>
      <c r="I170" s="2"/>
      <c r="J170" s="4"/>
      <c r="K170" s="2"/>
      <c r="L170" s="2"/>
      <c r="M170" s="2"/>
      <c r="N170" s="2"/>
      <c r="O170" s="2"/>
      <c r="P170" s="2"/>
      <c r="Q170" s="5" t="str">
        <f t="shared" si="35"/>
        <v/>
      </c>
      <c r="R170" s="2"/>
      <c r="S170" t="str">
        <f t="shared" si="33"/>
        <v/>
      </c>
      <c r="T170" s="10" t="str">
        <f t="shared" si="34"/>
        <v/>
      </c>
    </row>
    <row r="171" spans="1:20">
      <c r="A171" s="2"/>
      <c r="B171" s="3"/>
      <c r="C171" s="2" t="str">
        <f t="shared" si="30"/>
        <v/>
      </c>
      <c r="D171" s="2" t="str">
        <f t="shared" si="31"/>
        <v/>
      </c>
      <c r="E171" s="8"/>
      <c r="F171" s="2" t="str">
        <f t="shared" si="32"/>
        <v/>
      </c>
      <c r="G171" s="2"/>
      <c r="H171" s="2"/>
      <c r="I171" s="2"/>
      <c r="J171" s="4"/>
      <c r="K171" s="2"/>
      <c r="L171" s="2"/>
      <c r="M171" s="2"/>
      <c r="N171" s="2"/>
      <c r="O171" s="2"/>
      <c r="P171" s="2"/>
      <c r="Q171" s="5" t="str">
        <f t="shared" si="35"/>
        <v/>
      </c>
      <c r="R171" s="2"/>
      <c r="S171" t="str">
        <f t="shared" si="33"/>
        <v/>
      </c>
      <c r="T171" s="10" t="str">
        <f t="shared" si="34"/>
        <v/>
      </c>
    </row>
    <row r="172" spans="1:20">
      <c r="A172" s="2"/>
      <c r="B172" s="3"/>
      <c r="C172" s="2" t="str">
        <f t="shared" si="30"/>
        <v/>
      </c>
      <c r="D172" s="2" t="str">
        <f t="shared" si="31"/>
        <v/>
      </c>
      <c r="E172" s="8"/>
      <c r="F172" s="2" t="str">
        <f t="shared" si="32"/>
        <v/>
      </c>
      <c r="G172" s="2"/>
      <c r="H172" s="2"/>
      <c r="I172" s="2"/>
      <c r="J172" s="4"/>
      <c r="K172" s="2"/>
      <c r="L172" s="2"/>
      <c r="M172" s="2"/>
      <c r="N172" s="2"/>
      <c r="O172" s="2"/>
      <c r="P172" s="2"/>
      <c r="Q172" s="5" t="str">
        <f t="shared" si="35"/>
        <v/>
      </c>
      <c r="R172" s="2"/>
      <c r="S172" t="str">
        <f t="shared" si="33"/>
        <v/>
      </c>
      <c r="T172" s="10" t="str">
        <f t="shared" si="34"/>
        <v/>
      </c>
    </row>
    <row r="173" spans="1:20">
      <c r="A173" s="2"/>
      <c r="B173" s="3"/>
      <c r="C173" s="2" t="str">
        <f t="shared" si="30"/>
        <v/>
      </c>
      <c r="D173" s="2" t="str">
        <f t="shared" si="31"/>
        <v/>
      </c>
      <c r="E173" s="8"/>
      <c r="F173" s="2" t="str">
        <f t="shared" si="32"/>
        <v/>
      </c>
      <c r="G173" s="2"/>
      <c r="H173" s="2"/>
      <c r="I173" s="2"/>
      <c r="J173" s="4"/>
      <c r="K173" s="2"/>
      <c r="L173" s="2"/>
      <c r="M173" s="2"/>
      <c r="N173" s="2"/>
      <c r="O173" s="2"/>
      <c r="P173" s="2"/>
      <c r="Q173" s="5" t="str">
        <f t="shared" si="35"/>
        <v/>
      </c>
      <c r="R173" s="2"/>
      <c r="S173" t="str">
        <f t="shared" si="33"/>
        <v/>
      </c>
      <c r="T173" s="10" t="str">
        <f t="shared" si="34"/>
        <v/>
      </c>
    </row>
    <row r="174" spans="1:20">
      <c r="A174" s="2"/>
      <c r="B174" s="3"/>
      <c r="C174" s="2" t="str">
        <f t="shared" si="30"/>
        <v/>
      </c>
      <c r="D174" s="2" t="str">
        <f t="shared" si="31"/>
        <v/>
      </c>
      <c r="E174" s="8"/>
      <c r="F174" s="2" t="str">
        <f t="shared" si="32"/>
        <v/>
      </c>
      <c r="G174" s="2"/>
      <c r="H174" s="2"/>
      <c r="I174" s="2"/>
      <c r="J174" s="4"/>
      <c r="K174" s="2"/>
      <c r="L174" s="2"/>
      <c r="M174" s="2"/>
      <c r="N174" s="2"/>
      <c r="O174" s="2"/>
      <c r="P174" s="2"/>
      <c r="Q174" s="5" t="str">
        <f t="shared" si="35"/>
        <v/>
      </c>
      <c r="R174" s="2"/>
      <c r="S174" t="str">
        <f t="shared" si="33"/>
        <v/>
      </c>
      <c r="T174" s="10" t="str">
        <f t="shared" si="34"/>
        <v/>
      </c>
    </row>
    <row r="175" spans="1:20">
      <c r="A175" s="2"/>
      <c r="B175" s="3"/>
      <c r="C175" s="2" t="str">
        <f t="shared" si="30"/>
        <v/>
      </c>
      <c r="D175" s="2" t="str">
        <f t="shared" si="31"/>
        <v/>
      </c>
      <c r="E175" s="8"/>
      <c r="F175" s="2" t="str">
        <f t="shared" si="32"/>
        <v/>
      </c>
      <c r="G175" s="2"/>
      <c r="H175" s="2"/>
      <c r="I175" s="2"/>
      <c r="J175" s="4"/>
      <c r="K175" s="2"/>
      <c r="L175" s="2"/>
      <c r="M175" s="2"/>
      <c r="N175" s="2"/>
      <c r="O175" s="2"/>
      <c r="P175" s="2"/>
      <c r="Q175" s="5" t="str">
        <f t="shared" si="35"/>
        <v/>
      </c>
      <c r="R175" s="2"/>
      <c r="S175" t="str">
        <f t="shared" si="33"/>
        <v/>
      </c>
      <c r="T175" s="10" t="str">
        <f t="shared" si="34"/>
        <v/>
      </c>
    </row>
    <row r="176" spans="1:20">
      <c r="A176" s="2"/>
      <c r="B176" s="3"/>
      <c r="C176" s="2" t="str">
        <f t="shared" si="30"/>
        <v/>
      </c>
      <c r="D176" s="2" t="str">
        <f t="shared" si="31"/>
        <v/>
      </c>
      <c r="E176" s="8"/>
      <c r="F176" s="2" t="str">
        <f t="shared" si="32"/>
        <v/>
      </c>
      <c r="G176" s="2"/>
      <c r="H176" s="2"/>
      <c r="I176" s="2"/>
      <c r="J176" s="4"/>
      <c r="K176" s="2"/>
      <c r="L176" s="2"/>
      <c r="M176" s="2"/>
      <c r="N176" s="2"/>
      <c r="O176" s="2"/>
      <c r="P176" s="2"/>
      <c r="Q176" s="5" t="str">
        <f t="shared" si="35"/>
        <v/>
      </c>
      <c r="R176" s="2"/>
      <c r="S176" t="str">
        <f t="shared" si="33"/>
        <v/>
      </c>
      <c r="T176" s="10" t="str">
        <f t="shared" si="34"/>
        <v/>
      </c>
    </row>
    <row r="177" spans="1:20">
      <c r="A177" s="2"/>
      <c r="B177" s="3"/>
      <c r="C177" s="2" t="str">
        <f t="shared" si="30"/>
        <v/>
      </c>
      <c r="D177" s="2" t="str">
        <f t="shared" si="31"/>
        <v/>
      </c>
      <c r="E177" s="8"/>
      <c r="F177" s="2" t="str">
        <f t="shared" si="32"/>
        <v/>
      </c>
      <c r="G177" s="2"/>
      <c r="H177" s="2"/>
      <c r="I177" s="2"/>
      <c r="J177" s="4"/>
      <c r="K177" s="2"/>
      <c r="L177" s="2"/>
      <c r="M177" s="2"/>
      <c r="N177" s="2"/>
      <c r="O177" s="2"/>
      <c r="P177" s="2"/>
      <c r="Q177" s="5" t="str">
        <f t="shared" si="35"/>
        <v/>
      </c>
      <c r="R177" s="2"/>
      <c r="S177" t="str">
        <f t="shared" si="33"/>
        <v/>
      </c>
      <c r="T177" s="10" t="str">
        <f t="shared" si="34"/>
        <v/>
      </c>
    </row>
    <row r="178" spans="1:20">
      <c r="A178" s="2"/>
      <c r="B178" s="3"/>
      <c r="C178" s="2" t="str">
        <f t="shared" si="30"/>
        <v/>
      </c>
      <c r="D178" s="2" t="str">
        <f t="shared" si="31"/>
        <v/>
      </c>
      <c r="E178" s="8"/>
      <c r="F178" s="2" t="str">
        <f t="shared" si="32"/>
        <v/>
      </c>
      <c r="G178" s="2"/>
      <c r="H178" s="2"/>
      <c r="I178" s="2"/>
      <c r="J178" s="4"/>
      <c r="K178" s="2"/>
      <c r="L178" s="2"/>
      <c r="M178" s="2"/>
      <c r="N178" s="2"/>
      <c r="O178" s="2"/>
      <c r="P178" s="2"/>
      <c r="Q178" s="5" t="str">
        <f t="shared" si="35"/>
        <v/>
      </c>
      <c r="R178" s="2"/>
      <c r="S178" t="str">
        <f t="shared" si="33"/>
        <v/>
      </c>
      <c r="T178" s="10" t="str">
        <f t="shared" si="34"/>
        <v/>
      </c>
    </row>
    <row r="179" spans="1:20">
      <c r="A179" s="2"/>
      <c r="B179" s="3"/>
      <c r="C179" s="2" t="str">
        <f t="shared" si="30"/>
        <v/>
      </c>
      <c r="D179" s="2" t="str">
        <f t="shared" si="31"/>
        <v/>
      </c>
      <c r="E179" s="8"/>
      <c r="F179" s="2" t="str">
        <f t="shared" si="32"/>
        <v/>
      </c>
      <c r="G179" s="2"/>
      <c r="H179" s="2"/>
      <c r="I179" s="2"/>
      <c r="J179" s="4"/>
      <c r="K179" s="2"/>
      <c r="L179" s="2"/>
      <c r="M179" s="2"/>
      <c r="N179" s="2"/>
      <c r="O179" s="2"/>
      <c r="P179" s="2"/>
      <c r="Q179" s="5" t="str">
        <f t="shared" si="35"/>
        <v/>
      </c>
      <c r="R179" s="2"/>
      <c r="S179" t="str">
        <f t="shared" si="33"/>
        <v/>
      </c>
      <c r="T179" s="10" t="str">
        <f t="shared" si="34"/>
        <v/>
      </c>
    </row>
    <row r="180" spans="1:20">
      <c r="A180" s="2"/>
      <c r="B180" s="3"/>
      <c r="C180" s="2" t="str">
        <f t="shared" si="30"/>
        <v/>
      </c>
      <c r="D180" s="2" t="str">
        <f t="shared" si="31"/>
        <v/>
      </c>
      <c r="E180" s="8"/>
      <c r="F180" s="2" t="str">
        <f t="shared" si="32"/>
        <v/>
      </c>
      <c r="G180" s="2"/>
      <c r="H180" s="2"/>
      <c r="I180" s="2"/>
      <c r="J180" s="4"/>
      <c r="K180" s="2"/>
      <c r="L180" s="2"/>
      <c r="M180" s="2"/>
      <c r="N180" s="2"/>
      <c r="O180" s="2"/>
      <c r="P180" s="2"/>
      <c r="Q180" s="5" t="str">
        <f t="shared" si="35"/>
        <v/>
      </c>
      <c r="R180" s="2"/>
      <c r="S180" t="str">
        <f t="shared" si="33"/>
        <v/>
      </c>
      <c r="T180" s="10" t="str">
        <f t="shared" si="34"/>
        <v/>
      </c>
    </row>
    <row r="181" spans="1:20">
      <c r="A181" s="2"/>
      <c r="B181" s="3"/>
      <c r="C181" s="2" t="str">
        <f t="shared" si="30"/>
        <v/>
      </c>
      <c r="D181" s="2" t="str">
        <f t="shared" si="31"/>
        <v/>
      </c>
      <c r="E181" s="8"/>
      <c r="F181" s="2" t="str">
        <f t="shared" si="32"/>
        <v/>
      </c>
      <c r="G181" s="2"/>
      <c r="H181" s="2"/>
      <c r="I181" s="2"/>
      <c r="J181" s="4"/>
      <c r="K181" s="2"/>
      <c r="L181" s="2"/>
      <c r="M181" s="2"/>
      <c r="N181" s="2"/>
      <c r="O181" s="2"/>
      <c r="P181" s="2"/>
      <c r="Q181" s="5" t="str">
        <f t="shared" si="35"/>
        <v/>
      </c>
      <c r="R181" s="2"/>
      <c r="S181" t="str">
        <f t="shared" si="33"/>
        <v/>
      </c>
      <c r="T181" s="10" t="str">
        <f t="shared" si="34"/>
        <v/>
      </c>
    </row>
    <row r="182" spans="1:20">
      <c r="A182" s="2"/>
      <c r="B182" s="3"/>
      <c r="C182" s="2" t="str">
        <f t="shared" si="30"/>
        <v/>
      </c>
      <c r="D182" s="2" t="str">
        <f t="shared" si="31"/>
        <v/>
      </c>
      <c r="E182" s="8"/>
      <c r="F182" s="2" t="str">
        <f t="shared" si="32"/>
        <v/>
      </c>
      <c r="G182" s="2"/>
      <c r="H182" s="2"/>
      <c r="I182" s="2"/>
      <c r="J182" s="4"/>
      <c r="K182" s="2"/>
      <c r="L182" s="2"/>
      <c r="M182" s="2"/>
      <c r="N182" s="2"/>
      <c r="O182" s="2"/>
      <c r="P182" s="2"/>
      <c r="Q182" s="5" t="str">
        <f t="shared" si="35"/>
        <v/>
      </c>
      <c r="R182" s="2"/>
      <c r="S182" t="str">
        <f t="shared" si="33"/>
        <v/>
      </c>
      <c r="T182" s="10" t="str">
        <f t="shared" si="34"/>
        <v/>
      </c>
    </row>
    <row r="183" spans="1:20">
      <c r="A183" s="2"/>
      <c r="B183" s="3"/>
      <c r="C183" s="2" t="str">
        <f t="shared" si="30"/>
        <v/>
      </c>
      <c r="D183" s="2" t="str">
        <f t="shared" si="31"/>
        <v/>
      </c>
      <c r="E183" s="8"/>
      <c r="F183" s="2" t="str">
        <f t="shared" si="32"/>
        <v/>
      </c>
      <c r="G183" s="2"/>
      <c r="H183" s="2"/>
      <c r="I183" s="2"/>
      <c r="J183" s="4"/>
      <c r="K183" s="2"/>
      <c r="L183" s="2"/>
      <c r="M183" s="2"/>
      <c r="N183" s="2"/>
      <c r="O183" s="2"/>
      <c r="P183" s="2"/>
      <c r="Q183" s="5" t="str">
        <f t="shared" si="35"/>
        <v/>
      </c>
      <c r="R183" s="2"/>
      <c r="S183" t="str">
        <f t="shared" si="33"/>
        <v/>
      </c>
      <c r="T183" s="10" t="str">
        <f t="shared" si="34"/>
        <v/>
      </c>
    </row>
    <row r="184" spans="1:20">
      <c r="A184" s="2"/>
      <c r="B184" s="3"/>
      <c r="C184" s="2" t="str">
        <f t="shared" si="30"/>
        <v/>
      </c>
      <c r="D184" s="2" t="str">
        <f t="shared" si="31"/>
        <v/>
      </c>
      <c r="E184" s="8"/>
      <c r="F184" s="2" t="str">
        <f t="shared" si="32"/>
        <v/>
      </c>
      <c r="G184" s="2"/>
      <c r="H184" s="2"/>
      <c r="I184" s="2"/>
      <c r="J184" s="4"/>
      <c r="K184" s="2"/>
      <c r="L184" s="2"/>
      <c r="M184" s="2"/>
      <c r="N184" s="2"/>
      <c r="O184" s="2"/>
      <c r="P184" s="2"/>
      <c r="Q184" s="5" t="str">
        <f t="shared" si="35"/>
        <v/>
      </c>
      <c r="R184" s="2"/>
      <c r="S184" t="str">
        <f t="shared" si="33"/>
        <v/>
      </c>
      <c r="T184" s="10" t="str">
        <f t="shared" si="34"/>
        <v/>
      </c>
    </row>
    <row r="185" spans="1:20">
      <c r="A185" s="2"/>
      <c r="B185" s="3"/>
      <c r="C185" s="2" t="str">
        <f t="shared" si="30"/>
        <v/>
      </c>
      <c r="D185" s="2" t="str">
        <f t="shared" si="31"/>
        <v/>
      </c>
      <c r="E185" s="8"/>
      <c r="F185" s="2" t="str">
        <f t="shared" si="32"/>
        <v/>
      </c>
      <c r="G185" s="2"/>
      <c r="H185" s="2"/>
      <c r="I185" s="2"/>
      <c r="J185" s="4"/>
      <c r="K185" s="2"/>
      <c r="L185" s="2"/>
      <c r="M185" s="2"/>
      <c r="N185" s="2"/>
      <c r="O185" s="2"/>
      <c r="P185" s="2"/>
      <c r="Q185" s="5" t="str">
        <f t="shared" si="35"/>
        <v/>
      </c>
      <c r="R185" s="2"/>
      <c r="S185" t="str">
        <f t="shared" si="33"/>
        <v/>
      </c>
      <c r="T185" s="10" t="str">
        <f t="shared" si="34"/>
        <v/>
      </c>
    </row>
    <row r="186" spans="1:20">
      <c r="A186" s="2"/>
      <c r="B186" s="3"/>
      <c r="C186" s="2" t="str">
        <f t="shared" si="30"/>
        <v/>
      </c>
      <c r="D186" s="2" t="str">
        <f t="shared" si="31"/>
        <v/>
      </c>
      <c r="E186" s="8"/>
      <c r="F186" s="2" t="str">
        <f t="shared" si="32"/>
        <v/>
      </c>
      <c r="G186" s="2"/>
      <c r="H186" s="2"/>
      <c r="I186" s="2"/>
      <c r="J186" s="4"/>
      <c r="K186" s="2"/>
      <c r="L186" s="2"/>
      <c r="M186" s="2"/>
      <c r="N186" s="2"/>
      <c r="O186" s="2"/>
      <c r="P186" s="2"/>
      <c r="Q186" s="5" t="str">
        <f t="shared" si="35"/>
        <v/>
      </c>
      <c r="R186" s="2"/>
      <c r="S186" t="str">
        <f t="shared" si="33"/>
        <v/>
      </c>
      <c r="T186" s="10" t="str">
        <f t="shared" si="34"/>
        <v/>
      </c>
    </row>
    <row r="187" spans="1:20">
      <c r="A187" s="2"/>
      <c r="B187" s="3"/>
      <c r="C187" s="2" t="str">
        <f t="shared" si="30"/>
        <v/>
      </c>
      <c r="D187" s="2" t="str">
        <f t="shared" si="31"/>
        <v/>
      </c>
      <c r="E187" s="8"/>
      <c r="F187" s="2" t="str">
        <f t="shared" si="32"/>
        <v/>
      </c>
      <c r="G187" s="2"/>
      <c r="H187" s="2"/>
      <c r="I187" s="2"/>
      <c r="J187" s="4"/>
      <c r="K187" s="2"/>
      <c r="L187" s="2"/>
      <c r="M187" s="2"/>
      <c r="N187" s="2"/>
      <c r="O187" s="2"/>
      <c r="P187" s="2"/>
      <c r="Q187" s="5" t="str">
        <f t="shared" si="35"/>
        <v/>
      </c>
      <c r="R187" s="2"/>
      <c r="S187" t="str">
        <f t="shared" si="33"/>
        <v/>
      </c>
      <c r="T187" s="10" t="str">
        <f t="shared" si="34"/>
        <v/>
      </c>
    </row>
    <row r="188" spans="1:20">
      <c r="A188" s="2"/>
      <c r="B188" s="3"/>
      <c r="C188" s="2" t="str">
        <f t="shared" si="30"/>
        <v/>
      </c>
      <c r="D188" s="2" t="str">
        <f t="shared" si="31"/>
        <v/>
      </c>
      <c r="E188" s="8"/>
      <c r="F188" s="2" t="str">
        <f t="shared" si="32"/>
        <v/>
      </c>
      <c r="G188" s="2"/>
      <c r="H188" s="2"/>
      <c r="I188" s="2"/>
      <c r="J188" s="4"/>
      <c r="K188" s="2"/>
      <c r="L188" s="2"/>
      <c r="M188" s="2"/>
      <c r="N188" s="2"/>
      <c r="O188" s="2"/>
      <c r="P188" s="2"/>
      <c r="Q188" s="5" t="str">
        <f t="shared" si="35"/>
        <v/>
      </c>
      <c r="R188" s="2"/>
      <c r="S188" t="str">
        <f t="shared" si="33"/>
        <v/>
      </c>
      <c r="T188" s="10" t="str">
        <f t="shared" si="34"/>
        <v/>
      </c>
    </row>
    <row r="189" spans="1:20">
      <c r="A189" s="2"/>
      <c r="B189" s="3"/>
      <c r="C189" s="2" t="str">
        <f t="shared" si="30"/>
        <v/>
      </c>
      <c r="D189" s="2" t="str">
        <f t="shared" si="31"/>
        <v/>
      </c>
      <c r="E189" s="8"/>
      <c r="F189" s="2" t="str">
        <f t="shared" si="32"/>
        <v/>
      </c>
      <c r="G189" s="2"/>
      <c r="H189" s="2"/>
      <c r="I189" s="2"/>
      <c r="J189" s="4"/>
      <c r="K189" s="2"/>
      <c r="L189" s="2"/>
      <c r="M189" s="2"/>
      <c r="N189" s="2"/>
      <c r="O189" s="2"/>
      <c r="P189" s="2"/>
      <c r="Q189" s="5" t="str">
        <f t="shared" si="35"/>
        <v/>
      </c>
      <c r="R189" s="2"/>
      <c r="S189" t="str">
        <f t="shared" si="33"/>
        <v/>
      </c>
      <c r="T189" s="10" t="str">
        <f t="shared" si="34"/>
        <v/>
      </c>
    </row>
    <row r="190" spans="1:20">
      <c r="A190" s="2"/>
      <c r="B190" s="3"/>
      <c r="C190" s="2" t="str">
        <f t="shared" si="30"/>
        <v/>
      </c>
      <c r="D190" s="2" t="str">
        <f t="shared" si="31"/>
        <v/>
      </c>
      <c r="E190" s="8"/>
      <c r="F190" s="2" t="str">
        <f t="shared" si="32"/>
        <v/>
      </c>
      <c r="G190" s="2"/>
      <c r="H190" s="2"/>
      <c r="I190" s="2"/>
      <c r="J190" s="4"/>
      <c r="K190" s="2"/>
      <c r="L190" s="2"/>
      <c r="M190" s="2"/>
      <c r="N190" s="2"/>
      <c r="O190" s="2"/>
      <c r="P190" s="2"/>
      <c r="Q190" s="5" t="str">
        <f t="shared" si="35"/>
        <v/>
      </c>
      <c r="R190" s="2"/>
      <c r="S190" t="str">
        <f t="shared" si="33"/>
        <v/>
      </c>
      <c r="T190" s="10" t="str">
        <f t="shared" si="34"/>
        <v/>
      </c>
    </row>
    <row r="191" spans="1:20">
      <c r="A191" s="2"/>
      <c r="B191" s="3"/>
      <c r="C191" s="2" t="str">
        <f t="shared" si="30"/>
        <v/>
      </c>
      <c r="D191" s="2" t="str">
        <f t="shared" si="31"/>
        <v/>
      </c>
      <c r="E191" s="8"/>
      <c r="F191" s="2" t="str">
        <f t="shared" si="32"/>
        <v/>
      </c>
      <c r="G191" s="2"/>
      <c r="H191" s="2"/>
      <c r="I191" s="2"/>
      <c r="J191" s="4"/>
      <c r="K191" s="2"/>
      <c r="L191" s="2"/>
      <c r="M191" s="2"/>
      <c r="N191" s="2"/>
      <c r="O191" s="2"/>
      <c r="P191" s="2"/>
      <c r="Q191" s="5" t="str">
        <f t="shared" si="35"/>
        <v/>
      </c>
      <c r="R191" s="2"/>
      <c r="S191" t="str">
        <f t="shared" si="33"/>
        <v/>
      </c>
      <c r="T191" s="10" t="str">
        <f t="shared" si="34"/>
        <v/>
      </c>
    </row>
    <row r="192" spans="1:20">
      <c r="A192" s="2"/>
      <c r="B192" s="3"/>
      <c r="C192" s="2" t="str">
        <f t="shared" si="30"/>
        <v/>
      </c>
      <c r="D192" s="2" t="str">
        <f t="shared" si="31"/>
        <v/>
      </c>
      <c r="E192" s="8"/>
      <c r="F192" s="2" t="str">
        <f t="shared" si="32"/>
        <v/>
      </c>
      <c r="G192" s="2"/>
      <c r="H192" s="2"/>
      <c r="I192" s="2"/>
      <c r="J192" s="4"/>
      <c r="K192" s="2"/>
      <c r="L192" s="2"/>
      <c r="M192" s="2"/>
      <c r="N192" s="2"/>
      <c r="O192" s="2"/>
      <c r="P192" s="2"/>
      <c r="Q192" s="5" t="str">
        <f t="shared" si="35"/>
        <v/>
      </c>
      <c r="R192" s="2"/>
      <c r="S192" t="str">
        <f t="shared" si="33"/>
        <v/>
      </c>
      <c r="T192" s="10" t="str">
        <f t="shared" si="34"/>
        <v/>
      </c>
    </row>
    <row r="193" spans="1:20">
      <c r="A193" s="2"/>
      <c r="B193" s="3"/>
      <c r="C193" s="2" t="str">
        <f t="shared" si="30"/>
        <v/>
      </c>
      <c r="D193" s="2" t="str">
        <f t="shared" si="31"/>
        <v/>
      </c>
      <c r="E193" s="8"/>
      <c r="F193" s="2" t="str">
        <f t="shared" si="32"/>
        <v/>
      </c>
      <c r="G193" s="2"/>
      <c r="H193" s="2"/>
      <c r="I193" s="2"/>
      <c r="J193" s="4"/>
      <c r="K193" s="2"/>
      <c r="L193" s="2"/>
      <c r="M193" s="2"/>
      <c r="N193" s="2"/>
      <c r="O193" s="2"/>
      <c r="P193" s="2"/>
      <c r="Q193" s="5" t="str">
        <f t="shared" si="35"/>
        <v/>
      </c>
      <c r="R193" s="2"/>
      <c r="S193" t="str">
        <f t="shared" si="33"/>
        <v/>
      </c>
      <c r="T193" s="10" t="str">
        <f t="shared" si="34"/>
        <v/>
      </c>
    </row>
    <row r="194" spans="1:20">
      <c r="A194" s="2"/>
      <c r="B194" s="3"/>
      <c r="C194" s="2" t="str">
        <f t="shared" ref="C194:C200" si="36">IF(B194="","",YEAR(B194))</f>
        <v/>
      </c>
      <c r="D194" s="2" t="str">
        <f t="shared" ref="D194:D200" si="37">IF(B194="","",CHOOSE(MONTH(B194),"Január","Február","Marec","Apríl","Máj","Jún","Júl","August","September","Október","November","December"))</f>
        <v/>
      </c>
      <c r="E194" s="8"/>
      <c r="F194" s="2" t="str">
        <f t="shared" ref="F194:F200" si="38">IF(B194="","",MONTH(B194))</f>
        <v/>
      </c>
      <c r="G194" s="2"/>
      <c r="H194" s="2"/>
      <c r="I194" s="2"/>
      <c r="J194" s="4"/>
      <c r="K194" s="2"/>
      <c r="L194" s="2"/>
      <c r="M194" s="2"/>
      <c r="N194" s="2"/>
      <c r="O194" s="2"/>
      <c r="P194" s="2"/>
      <c r="Q194" s="5" t="str">
        <f t="shared" si="35"/>
        <v/>
      </c>
      <c r="R194" s="2"/>
      <c r="S194" t="str">
        <f t="shared" ref="S194:S200" si="39">IF(B194="","",IF(L194="Absolvovaný","Absolvovaný",IF(L194="Zrušený","Zrušený","Plánovaný")))</f>
        <v/>
      </c>
      <c r="T194" s="10" t="str">
        <f t="shared" ref="T194:T200" si="40">IF(Q194="","",Q194/7)</f>
        <v/>
      </c>
    </row>
    <row r="195" spans="1:20">
      <c r="A195" s="2"/>
      <c r="B195" s="3"/>
      <c r="C195" s="2" t="str">
        <f t="shared" si="36"/>
        <v/>
      </c>
      <c r="D195" s="2" t="str">
        <f t="shared" si="37"/>
        <v/>
      </c>
      <c r="E195" s="8"/>
      <c r="F195" s="2" t="str">
        <f t="shared" si="38"/>
        <v/>
      </c>
      <c r="G195" s="2"/>
      <c r="H195" s="2"/>
      <c r="I195" s="2"/>
      <c r="J195" s="4"/>
      <c r="K195" s="2"/>
      <c r="L195" s="2"/>
      <c r="M195" s="2"/>
      <c r="N195" s="2"/>
      <c r="O195" s="2"/>
      <c r="P195" s="2"/>
      <c r="Q195" s="5" t="str">
        <f t="shared" ref="Q195:Q200" si="41">IF(OR(B195="",B194=""),"",B195-B194)</f>
        <v/>
      </c>
      <c r="R195" s="2"/>
      <c r="S195" t="str">
        <f t="shared" si="39"/>
        <v/>
      </c>
      <c r="T195" s="10" t="str">
        <f t="shared" si="40"/>
        <v/>
      </c>
    </row>
    <row r="196" spans="1:20">
      <c r="A196" s="2"/>
      <c r="B196" s="3"/>
      <c r="C196" s="2" t="str">
        <f t="shared" si="36"/>
        <v/>
      </c>
      <c r="D196" s="2" t="str">
        <f t="shared" si="37"/>
        <v/>
      </c>
      <c r="E196" s="8"/>
      <c r="F196" s="2" t="str">
        <f t="shared" si="38"/>
        <v/>
      </c>
      <c r="G196" s="2"/>
      <c r="H196" s="2"/>
      <c r="I196" s="2"/>
      <c r="J196" s="4"/>
      <c r="K196" s="2"/>
      <c r="L196" s="2"/>
      <c r="M196" s="2"/>
      <c r="N196" s="2"/>
      <c r="O196" s="2"/>
      <c r="P196" s="2"/>
      <c r="Q196" s="5" t="str">
        <f t="shared" si="41"/>
        <v/>
      </c>
      <c r="R196" s="2"/>
      <c r="S196" t="str">
        <f t="shared" si="39"/>
        <v/>
      </c>
      <c r="T196" s="10" t="str">
        <f t="shared" si="40"/>
        <v/>
      </c>
    </row>
    <row r="197" spans="1:20">
      <c r="A197" s="2"/>
      <c r="B197" s="3"/>
      <c r="C197" s="2" t="str">
        <f t="shared" si="36"/>
        <v/>
      </c>
      <c r="D197" s="2" t="str">
        <f t="shared" si="37"/>
        <v/>
      </c>
      <c r="E197" s="8"/>
      <c r="F197" s="2" t="str">
        <f t="shared" si="38"/>
        <v/>
      </c>
      <c r="G197" s="2"/>
      <c r="H197" s="2"/>
      <c r="I197" s="2"/>
      <c r="J197" s="4"/>
      <c r="K197" s="2"/>
      <c r="L197" s="2"/>
      <c r="M197" s="2"/>
      <c r="N197" s="2"/>
      <c r="O197" s="2"/>
      <c r="P197" s="2"/>
      <c r="Q197" s="5" t="str">
        <f t="shared" si="41"/>
        <v/>
      </c>
      <c r="R197" s="2"/>
      <c r="S197" t="str">
        <f t="shared" si="39"/>
        <v/>
      </c>
      <c r="T197" s="10" t="str">
        <f t="shared" si="40"/>
        <v/>
      </c>
    </row>
    <row r="198" spans="1:20">
      <c r="A198" s="2"/>
      <c r="B198" s="3"/>
      <c r="C198" s="2" t="str">
        <f t="shared" si="36"/>
        <v/>
      </c>
      <c r="D198" s="2" t="str">
        <f t="shared" si="37"/>
        <v/>
      </c>
      <c r="E198" s="8"/>
      <c r="F198" s="2" t="str">
        <f t="shared" si="38"/>
        <v/>
      </c>
      <c r="G198" s="2"/>
      <c r="H198" s="2"/>
      <c r="I198" s="2"/>
      <c r="J198" s="4"/>
      <c r="K198" s="2"/>
      <c r="L198" s="2"/>
      <c r="M198" s="2"/>
      <c r="N198" s="2"/>
      <c r="O198" s="2"/>
      <c r="P198" s="2"/>
      <c r="Q198" s="5" t="str">
        <f t="shared" si="41"/>
        <v/>
      </c>
      <c r="R198" s="2"/>
      <c r="S198" t="str">
        <f t="shared" si="39"/>
        <v/>
      </c>
      <c r="T198" s="10" t="str">
        <f t="shared" si="40"/>
        <v/>
      </c>
    </row>
    <row r="199" spans="1:20">
      <c r="A199" s="2"/>
      <c r="B199" s="3"/>
      <c r="C199" s="2" t="str">
        <f t="shared" si="36"/>
        <v/>
      </c>
      <c r="D199" s="2" t="str">
        <f t="shared" si="37"/>
        <v/>
      </c>
      <c r="E199" s="8"/>
      <c r="F199" s="2" t="str">
        <f t="shared" si="38"/>
        <v/>
      </c>
      <c r="G199" s="2"/>
      <c r="H199" s="2"/>
      <c r="I199" s="2"/>
      <c r="J199" s="4"/>
      <c r="K199" s="2"/>
      <c r="L199" s="2"/>
      <c r="M199" s="2"/>
      <c r="N199" s="2"/>
      <c r="O199" s="2"/>
      <c r="P199" s="2"/>
      <c r="Q199" s="5" t="str">
        <f t="shared" si="41"/>
        <v/>
      </c>
      <c r="R199" s="2"/>
      <c r="S199" t="str">
        <f t="shared" si="39"/>
        <v/>
      </c>
      <c r="T199" s="10" t="str">
        <f t="shared" si="40"/>
        <v/>
      </c>
    </row>
    <row r="200" spans="1:20">
      <c r="A200" s="2"/>
      <c r="B200" s="3"/>
      <c r="C200" s="2" t="str">
        <f t="shared" si="36"/>
        <v/>
      </c>
      <c r="D200" s="2" t="str">
        <f t="shared" si="37"/>
        <v/>
      </c>
      <c r="E200" s="8"/>
      <c r="F200" s="2" t="str">
        <f t="shared" si="38"/>
        <v/>
      </c>
      <c r="G200" s="2"/>
      <c r="H200" s="2"/>
      <c r="I200" s="2"/>
      <c r="J200" s="4"/>
      <c r="K200" s="2"/>
      <c r="L200" s="2"/>
      <c r="M200" s="2"/>
      <c r="N200" s="2"/>
      <c r="O200" s="2"/>
      <c r="P200" s="2"/>
      <c r="Q200" s="5" t="str">
        <f t="shared" si="41"/>
        <v/>
      </c>
      <c r="R200" s="2"/>
      <c r="S200" t="str">
        <f t="shared" si="39"/>
        <v/>
      </c>
      <c r="T200" s="10" t="str">
        <f t="shared" si="40"/>
        <v/>
      </c>
    </row>
  </sheetData>
  <conditionalFormatting sqref="K2:K200">
    <cfRule type="expression" dxfId="11" priority="1">
      <formula>K2="A"</formula>
    </cfRule>
    <cfRule type="expression" dxfId="10" priority="2">
      <formula>K2="B"</formula>
    </cfRule>
    <cfRule type="expression" dxfId="9" priority="3">
      <formula>K2="C"</formula>
    </cfRule>
  </conditionalFormatting>
  <conditionalFormatting sqref="Q2:Q200">
    <cfRule type="expression" dxfId="8" priority="4">
      <formula>AND(Q2&lt;&gt;"",Q2&lt;=14)</formula>
    </cfRule>
    <cfRule type="expression" dxfId="7" priority="5">
      <formula>AND(Q2&gt;14,Q2&lt;=28)</formula>
    </cfRule>
    <cfRule type="expression" dxfId="6" priority="6">
      <formula>Q2&gt;28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4"/>
  <cols>
    <col min="1" max="4" width="18" customWidth="1"/>
  </cols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  <row r="2" spans="1:4">
      <c r="A2" t="s">
        <v>9</v>
      </c>
      <c r="B2" t="s">
        <v>10</v>
      </c>
      <c r="C2" t="s">
        <v>24</v>
      </c>
      <c r="D2" t="s">
        <v>13</v>
      </c>
    </row>
    <row r="3" spans="1:4">
      <c r="A3" t="s">
        <v>17</v>
      </c>
      <c r="B3" t="s">
        <v>18</v>
      </c>
      <c r="C3" t="s">
        <v>11</v>
      </c>
      <c r="D3" t="s">
        <v>25</v>
      </c>
    </row>
    <row r="4" spans="1:4">
      <c r="A4" t="s">
        <v>26</v>
      </c>
      <c r="B4" t="s">
        <v>27</v>
      </c>
      <c r="C4" t="s">
        <v>28</v>
      </c>
      <c r="D4" t="s">
        <v>29</v>
      </c>
    </row>
    <row r="5" spans="1:4">
      <c r="A5" t="s">
        <v>30</v>
      </c>
      <c r="C5" t="s">
        <v>31</v>
      </c>
    </row>
    <row r="6" spans="1:4">
      <c r="A6" t="s">
        <v>32</v>
      </c>
      <c r="C6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5"/>
  <sheetViews>
    <sheetView workbookViewId="0"/>
  </sheetViews>
  <sheetFormatPr defaultRowHeight="14"/>
  <cols>
    <col min="1" max="1" width="13" customWidth="1"/>
    <col min="2" max="2" width="30" customWidth="1"/>
    <col min="3" max="3" width="17" customWidth="1"/>
    <col min="4" max="5" width="10" customWidth="1"/>
    <col min="6" max="6" width="16" customWidth="1"/>
    <col min="7" max="7" width="12" customWidth="1"/>
    <col min="8" max="8" width="14" customWidth="1"/>
    <col min="10" max="11" width="2" customWidth="1"/>
  </cols>
  <sheetData>
    <row r="1" spans="1:11">
      <c r="A1" s="22" t="s">
        <v>34</v>
      </c>
      <c r="B1" s="22"/>
      <c r="C1" s="22"/>
      <c r="D1" s="22"/>
      <c r="E1" s="22"/>
      <c r="F1" s="22"/>
      <c r="G1" s="22"/>
      <c r="H1" s="22"/>
      <c r="J1" s="17" t="s">
        <v>54</v>
      </c>
      <c r="K1" s="17" t="s">
        <v>55</v>
      </c>
    </row>
    <row r="2" spans="1:11">
      <c r="A2" s="22"/>
      <c r="B2" s="22"/>
      <c r="C2" s="22"/>
      <c r="D2" s="22"/>
      <c r="E2" s="22"/>
      <c r="F2" s="22"/>
      <c r="G2" s="22"/>
      <c r="H2" s="22"/>
      <c r="J2" s="17">
        <f ca="1">IF(COUNT(K2:K200)=0,"",MIN(K2:K200))</f>
        <v>46495.416666666664</v>
      </c>
      <c r="K2" s="17">
        <f ca="1">IF(AND(Preteky_2027!B2&lt;&gt;"",Preteky_2027!B2+Preteky_2027!E2&gt;NOW(),Preteky_2027!L2&lt;&gt;"Zrušený"),Preteky_2027!B2+Preteky_2027!E2,"")</f>
        <v>46495.416666666664</v>
      </c>
    </row>
    <row r="3" spans="1:11">
      <c r="J3" s="17">
        <f ca="1">IF(J2="","",MATCH(INT(J2),Preteky_2027!$B$2:$B$200,0))</f>
        <v>1</v>
      </c>
      <c r="K3" s="17">
        <f ca="1">IF(AND(Preteky_2027!B3&lt;&gt;"",Preteky_2027!B3+Preteky_2027!E3&gt;NOW(),Preteky_2027!L3&lt;&gt;"Zrušený"),Preteky_2027!B3+Preteky_2027!E3,"")</f>
        <v>46557.75</v>
      </c>
    </row>
    <row r="4" spans="1:11">
      <c r="A4" s="18" t="s">
        <v>35</v>
      </c>
      <c r="B4" s="18"/>
      <c r="C4" s="18"/>
      <c r="E4" s="18" t="s">
        <v>36</v>
      </c>
      <c r="F4" s="18"/>
      <c r="G4" s="18"/>
      <c r="H4" s="18"/>
      <c r="J4" s="17">
        <f ca="1">IF(J2="","",MOD(J2,1))</f>
        <v>0.41666666666424135</v>
      </c>
      <c r="K4" s="17">
        <f ca="1">IF(AND(Preteky_2027!B4&lt;&gt;"",Preteky_2027!B4+Preteky_2027!E4&gt;NOW(),Preteky_2027!L4&lt;&gt;"Zrušený"),Preteky_2027!B4+Preteky_2027!E4,"")</f>
        <v>46663.375</v>
      </c>
    </row>
    <row r="5" spans="1:11">
      <c r="A5" s="23" t="str">
        <f ca="1">IF($J$3="","Žiadny budúci pretek",INDEX(Preteky_2027!$G$2:$G$200,$J$3))</f>
        <v>Generali 1/2Maraton Praha 2027</v>
      </c>
      <c r="B5" s="23"/>
      <c r="C5" s="23"/>
      <c r="E5" s="25" t="str">
        <f ca="1">IF($J$5="","000 : 00 : 00 : 00",TEXT(INT(MAX(0,$J$5-NOW())),"000")&amp;" : "&amp;TEXT(INT(MOD(MAX(0,$J$5-NOW())*24,24)),"00")&amp;" : "&amp;TEXT(INT(MOD(MAX(0,$J$5-NOW())*1440,60)),"00")&amp;" : "&amp;TEXT(INT(MOD(MAX(0,$J$5-NOW())*86400,60)),"00"))</f>
        <v>198 : 20 : 14 : 14</v>
      </c>
      <c r="F5" s="25"/>
      <c r="G5" s="25"/>
      <c r="H5" s="25"/>
      <c r="J5" s="17">
        <f ca="1">J2</f>
        <v>46495.416666666664</v>
      </c>
      <c r="K5" s="17" t="str">
        <f ca="1">IF(AND(Preteky_2027!B5&lt;&gt;"",Preteky_2027!B5+Preteky_2027!E5&gt;NOW(),Preteky_2027!L5&lt;&gt;"Zrušený"),Preteky_2027!B5+Preteky_2027!E5,"")</f>
        <v/>
      </c>
    </row>
    <row r="6" spans="1:11">
      <c r="A6" s="24">
        <f ca="1">IF($J$5="","",$J$5)</f>
        <v>46495.416666666664</v>
      </c>
      <c r="B6" s="24"/>
      <c r="C6" s="24"/>
      <c r="E6" s="25"/>
      <c r="F6" s="25"/>
      <c r="G6" s="25"/>
      <c r="H6" s="25"/>
      <c r="J6" s="17"/>
      <c r="K6" s="17" t="str">
        <f ca="1">IF(AND(Preteky_2027!B6&lt;&gt;"",Preteky_2027!B6+Preteky_2027!E6&gt;NOW(),Preteky_2027!L6&lt;&gt;"Zrušený"),Preteky_2027!B6+Preteky_2027!E6,"")</f>
        <v/>
      </c>
    </row>
    <row r="7" spans="1:11">
      <c r="J7" s="17"/>
      <c r="K7" s="17" t="str">
        <f ca="1">IF(AND(Preteky_2027!B7&lt;&gt;"",Preteky_2027!B7+Preteky_2027!E7&gt;NOW(),Preteky_2027!L7&lt;&gt;"Zrušený"),Preteky_2027!B7+Preteky_2027!E7,"")</f>
        <v/>
      </c>
    </row>
    <row r="8" spans="1:11">
      <c r="A8" s="18" t="s">
        <v>37</v>
      </c>
      <c r="B8" s="18"/>
      <c r="C8" s="18" t="s">
        <v>38</v>
      </c>
      <c r="D8" s="18"/>
      <c r="E8" s="18" t="s">
        <v>39</v>
      </c>
      <c r="F8" s="18"/>
      <c r="G8" s="18" t="s">
        <v>40</v>
      </c>
      <c r="H8" s="18"/>
      <c r="J8" s="17"/>
      <c r="K8" s="17" t="str">
        <f ca="1">IF(AND(Preteky_2027!B8&lt;&gt;"",Preteky_2027!B8+Preteky_2027!E8&gt;NOW(),Preteky_2027!L8&lt;&gt;"Zrušený"),Preteky_2027!B8+Preteky_2027!E8,"")</f>
        <v/>
      </c>
    </row>
    <row r="9" spans="1:11">
      <c r="A9" s="19">
        <f>COUNT(Preteky_2027!$B$2:$B$200)</f>
        <v>3</v>
      </c>
      <c r="B9" s="19"/>
      <c r="C9" s="19">
        <f>COUNTIF(Preteky_2027!$K$2:$K$200,"A")</f>
        <v>2</v>
      </c>
      <c r="D9" s="19"/>
      <c r="E9" s="21">
        <f>SUM(Preteky_2027!$J$2:$J$200)</f>
        <v>71</v>
      </c>
      <c r="F9" s="21"/>
      <c r="G9" s="19">
        <f>COUNTIF(Preteky_2027!$L$2:$L$200,"Registrovaný")</f>
        <v>0</v>
      </c>
      <c r="H9" s="19"/>
      <c r="J9" s="17"/>
      <c r="K9" s="17" t="str">
        <f ca="1">IF(AND(Preteky_2027!B9&lt;&gt;"",Preteky_2027!B9+Preteky_2027!E9&gt;NOW(),Preteky_2027!L9&lt;&gt;"Zrušený"),Preteky_2027!B9+Preteky_2027!E9,"")</f>
        <v/>
      </c>
    </row>
    <row r="10" spans="1:11">
      <c r="A10" s="19"/>
      <c r="B10" s="19"/>
      <c r="C10" s="19"/>
      <c r="D10" s="19"/>
      <c r="E10" s="21"/>
      <c r="F10" s="21"/>
      <c r="G10" s="19"/>
      <c r="H10" s="19"/>
      <c r="J10" s="17"/>
      <c r="K10" s="17" t="str">
        <f ca="1">IF(AND(Preteky_2027!B10&lt;&gt;"",Preteky_2027!B10+Preteky_2027!E10&gt;NOW(),Preteky_2027!L10&lt;&gt;"Zrušený"),Preteky_2027!B10+Preteky_2027!E10,"")</f>
        <v/>
      </c>
    </row>
    <row r="11" spans="1:11">
      <c r="J11" s="17"/>
      <c r="K11" s="17" t="str">
        <f ca="1">IF(AND(Preteky_2027!B11&lt;&gt;"",Preteky_2027!B11+Preteky_2027!E11&gt;NOW(),Preteky_2027!L11&lt;&gt;"Zrušený"),Preteky_2027!B11+Preteky_2027!E11,"")</f>
        <v/>
      </c>
    </row>
    <row r="12" spans="1:11">
      <c r="J12" s="17"/>
      <c r="K12" s="17" t="str">
        <f ca="1">IF(AND(Preteky_2027!B12&lt;&gt;"",Preteky_2027!B12+Preteky_2027!E12&gt;NOW(),Preteky_2027!L12&lt;&gt;"Zrušený"),Preteky_2027!B12+Preteky_2027!E12,"")</f>
        <v/>
      </c>
    </row>
    <row r="13" spans="1:11">
      <c r="A13" s="20" t="s">
        <v>41</v>
      </c>
      <c r="B13" s="20"/>
      <c r="C13" s="20"/>
      <c r="D13" s="20"/>
      <c r="E13" s="20"/>
      <c r="F13" s="20"/>
      <c r="G13" s="20"/>
      <c r="H13" s="20"/>
      <c r="J13" s="17"/>
      <c r="K13" s="17" t="str">
        <f ca="1">IF(AND(Preteky_2027!B13&lt;&gt;"",Preteky_2027!B13+Preteky_2027!E13&gt;NOW(),Preteky_2027!L13&lt;&gt;"Zrušený"),Preteky_2027!B13+Preteky_2027!E13,"")</f>
        <v/>
      </c>
    </row>
    <row r="14" spans="1:11">
      <c r="A14" s="6" t="s">
        <v>42</v>
      </c>
      <c r="B14" s="6" t="s">
        <v>43</v>
      </c>
      <c r="C14" s="6" t="s">
        <v>44</v>
      </c>
      <c r="D14" s="6" t="s">
        <v>45</v>
      </c>
      <c r="E14" s="6" t="s">
        <v>46</v>
      </c>
      <c r="F14" s="6" t="s">
        <v>47</v>
      </c>
      <c r="G14" s="6" t="s">
        <v>48</v>
      </c>
      <c r="H14" s="6" t="s">
        <v>49</v>
      </c>
      <c r="J14" s="17"/>
      <c r="K14" s="17" t="str">
        <f ca="1">IF(AND(Preteky_2027!B14&lt;&gt;"",Preteky_2027!B14+Preteky_2027!E14&gt;NOW(),Preteky_2027!L14&lt;&gt;"Zrušený"),Preteky_2027!B14+Preteky_2027!E14,"")</f>
        <v/>
      </c>
    </row>
    <row r="15" spans="1:11">
      <c r="A15" s="7">
        <f>COUNTIF(Preteky_2027!$F$2:$F$200,1)</f>
        <v>0</v>
      </c>
      <c r="B15" s="7">
        <f>COUNTIF(Preteky_2027!$F$2:$F$200,2)</f>
        <v>0</v>
      </c>
      <c r="C15" s="7">
        <f>COUNTIF(Preteky_2027!$F$2:$F$200,3)</f>
        <v>0</v>
      </c>
      <c r="D15" s="7">
        <f>COUNTIF(Preteky_2027!$F$2:$F$200,4)</f>
        <v>1</v>
      </c>
      <c r="E15" s="7">
        <f>COUNTIF(Preteky_2027!$F$2:$F$200,5)</f>
        <v>0</v>
      </c>
      <c r="F15" s="7">
        <f>COUNTIF(Preteky_2027!$F$2:$F$200,6)</f>
        <v>1</v>
      </c>
      <c r="G15" s="7">
        <f>COUNTIF(Preteky_2027!$F$2:$F$200,7)</f>
        <v>0</v>
      </c>
      <c r="H15" s="7">
        <f>COUNTIF(Preteky_2027!$F$2:$F$200,8)</f>
        <v>0</v>
      </c>
      <c r="J15" s="17"/>
      <c r="K15" s="17" t="str">
        <f ca="1">IF(AND(Preteky_2027!B15&lt;&gt;"",Preteky_2027!B15+Preteky_2027!E15&gt;NOW(),Preteky_2027!L15&lt;&gt;"Zrušený"),Preteky_2027!B15+Preteky_2027!E15,"")</f>
        <v/>
      </c>
    </row>
    <row r="16" spans="1:11">
      <c r="J16" s="17"/>
      <c r="K16" s="17" t="str">
        <f ca="1">IF(AND(Preteky_2027!B16&lt;&gt;"",Preteky_2027!B16+Preteky_2027!E16&gt;NOW(),Preteky_2027!L16&lt;&gt;"Zrušený"),Preteky_2027!B16+Preteky_2027!E16,"")</f>
        <v/>
      </c>
    </row>
    <row r="17" spans="1:11">
      <c r="A17" s="6" t="s">
        <v>50</v>
      </c>
      <c r="B17" s="6" t="s">
        <v>51</v>
      </c>
      <c r="C17" s="6" t="s">
        <v>52</v>
      </c>
      <c r="D17" s="6" t="s">
        <v>53</v>
      </c>
      <c r="J17" s="17"/>
      <c r="K17" s="17" t="str">
        <f ca="1">IF(AND(Preteky_2027!B17&lt;&gt;"",Preteky_2027!B17+Preteky_2027!E17&gt;NOW(),Preteky_2027!L17&lt;&gt;"Zrušený"),Preteky_2027!B17+Preteky_2027!E17,"")</f>
        <v/>
      </c>
    </row>
    <row r="18" spans="1:11">
      <c r="A18" s="7">
        <f>COUNTIF(Preteky_2027!$F$2:$F$200,9)</f>
        <v>0</v>
      </c>
      <c r="B18" s="7">
        <f>COUNTIF(Preteky_2027!$F$2:$F$200,10)</f>
        <v>1</v>
      </c>
      <c r="C18" s="7">
        <f>COUNTIF(Preteky_2027!$F$2:$F$200,11)</f>
        <v>0</v>
      </c>
      <c r="D18" s="7">
        <f>COUNTIF(Preteky_2027!$F$2:$F$200,12)</f>
        <v>0</v>
      </c>
      <c r="J18" s="17"/>
      <c r="K18" s="17" t="str">
        <f ca="1">IF(AND(Preteky_2027!B18&lt;&gt;"",Preteky_2027!B18+Preteky_2027!E18&gt;NOW(),Preteky_2027!L18&lt;&gt;"Zrušený"),Preteky_2027!B18+Preteky_2027!E18,"")</f>
        <v/>
      </c>
    </row>
    <row r="19" spans="1:11">
      <c r="J19" s="17"/>
      <c r="K19" s="17" t="str">
        <f ca="1">IF(AND(Preteky_2027!B19&lt;&gt;"",Preteky_2027!B19+Preteky_2027!E19&gt;NOW(),Preteky_2027!L19&lt;&gt;"Zrušený"),Preteky_2027!B19+Preteky_2027!E19,"")</f>
        <v/>
      </c>
    </row>
    <row r="20" spans="1:11">
      <c r="A20" s="26" t="s">
        <v>56</v>
      </c>
      <c r="B20" s="26"/>
      <c r="C20" s="26"/>
      <c r="D20" s="26"/>
      <c r="E20" s="26"/>
      <c r="F20" s="26"/>
      <c r="G20" s="26"/>
      <c r="H20" s="26"/>
      <c r="J20" s="17"/>
      <c r="K20" s="17" t="str">
        <f ca="1">IF(AND(Preteky_2027!B20&lt;&gt;"",Preteky_2027!B20+Preteky_2027!E20&gt;NOW(),Preteky_2027!L20&lt;&gt;"Zrušený"),Preteky_2027!B20+Preteky_2027!E20,"")</f>
        <v/>
      </c>
    </row>
    <row r="21" spans="1:11">
      <c r="J21" s="17"/>
      <c r="K21" s="17" t="str">
        <f ca="1">IF(AND(Preteky_2027!B21&lt;&gt;"",Preteky_2027!B21+Preteky_2027!E21&gt;NOW(),Preteky_2027!L21&lt;&gt;"Zrušený"),Preteky_2027!B21+Preteky_2027!E21,"")</f>
        <v/>
      </c>
    </row>
    <row r="22" spans="1:11">
      <c r="A22" s="27" t="s">
        <v>57</v>
      </c>
      <c r="B22" s="27"/>
      <c r="C22" s="27"/>
      <c r="E22" s="29" t="s">
        <v>58</v>
      </c>
      <c r="F22" s="29"/>
      <c r="G22" s="29"/>
      <c r="J22" s="17"/>
      <c r="K22" s="17" t="str">
        <f ca="1">IF(AND(Preteky_2027!B22&lt;&gt;"",Preteky_2027!B22+Preteky_2027!E22&gt;NOW(),Preteky_2027!L22&lt;&gt;"Zrušený"),Preteky_2027!B22+Preteky_2027!E22,"")</f>
        <v/>
      </c>
    </row>
    <row r="23" spans="1:11">
      <c r="A23" s="28">
        <f>COUNTIF(Preteky_2027!$S$2:$S$200,"Plánovaný")</f>
        <v>3</v>
      </c>
      <c r="B23" s="28"/>
      <c r="C23" s="28"/>
      <c r="E23" s="28">
        <f>COUNTIF(Preteky_2027!$S$2:$S$200,"Absolvovaný")</f>
        <v>0</v>
      </c>
      <c r="F23" s="28"/>
      <c r="G23" s="28"/>
      <c r="J23" s="17"/>
      <c r="K23" s="17" t="str">
        <f ca="1">IF(AND(Preteky_2027!B23&lt;&gt;"",Preteky_2027!B23+Preteky_2027!E23&gt;NOW(),Preteky_2027!L23&lt;&gt;"Zrušený"),Preteky_2027!B23+Preteky_2027!E23,"")</f>
        <v/>
      </c>
    </row>
    <row r="24" spans="1:11">
      <c r="A24" s="28"/>
      <c r="B24" s="28"/>
      <c r="C24" s="28"/>
      <c r="E24" s="28"/>
      <c r="F24" s="28"/>
      <c r="G24" s="28"/>
      <c r="J24" s="17"/>
      <c r="K24" s="17" t="str">
        <f ca="1">IF(AND(Preteky_2027!B24&lt;&gt;"",Preteky_2027!B24+Preteky_2027!E24&gt;NOW(),Preteky_2027!L24&lt;&gt;"Zrušený"),Preteky_2027!B24+Preteky_2027!E24,"")</f>
        <v/>
      </c>
    </row>
    <row r="25" spans="1:11">
      <c r="J25" s="17"/>
      <c r="K25" s="17" t="str">
        <f ca="1">IF(AND(Preteky_2027!B25&lt;&gt;"",Preteky_2027!B25+Preteky_2027!E25&gt;NOW(),Preteky_2027!L25&lt;&gt;"Zrušený"),Preteky_2027!B25+Preteky_2027!E25,"")</f>
        <v/>
      </c>
    </row>
    <row r="26" spans="1:11">
      <c r="J26" s="17"/>
      <c r="K26" s="17" t="str">
        <f ca="1">IF(AND(Preteky_2027!B26&lt;&gt;"",Preteky_2027!B26+Preteky_2027!E26&gt;NOW(),Preteky_2027!L26&lt;&gt;"Zrušený"),Preteky_2027!B26+Preteky_2027!E26,"")</f>
        <v/>
      </c>
    </row>
    <row r="27" spans="1:11">
      <c r="A27" s="30" t="s">
        <v>59</v>
      </c>
      <c r="B27" s="30"/>
      <c r="C27" s="30"/>
      <c r="D27" s="30"/>
      <c r="E27" s="30"/>
      <c r="F27" s="30"/>
      <c r="G27" s="30"/>
      <c r="H27" s="30"/>
      <c r="J27" s="17"/>
      <c r="K27" s="17" t="str">
        <f ca="1">IF(AND(Preteky_2027!B27&lt;&gt;"",Preteky_2027!B27+Preteky_2027!E27&gt;NOW(),Preteky_2027!L27&lt;&gt;"Zrušený"),Preteky_2027!B27+Preteky_2027!E27,"")</f>
        <v/>
      </c>
    </row>
    <row r="28" spans="1:11">
      <c r="A28" s="11" t="s">
        <v>1</v>
      </c>
      <c r="B28" s="11" t="s">
        <v>60</v>
      </c>
      <c r="C28" s="11" t="s">
        <v>2</v>
      </c>
      <c r="D28" s="11" t="s">
        <v>61</v>
      </c>
      <c r="E28" s="11" t="s">
        <v>4</v>
      </c>
      <c r="F28" s="11" t="s">
        <v>5</v>
      </c>
      <c r="G28" s="11" t="s">
        <v>62</v>
      </c>
      <c r="H28" s="11" t="s">
        <v>63</v>
      </c>
      <c r="J28" s="17"/>
      <c r="K28" s="17" t="str">
        <f ca="1">IF(AND(Preteky_2027!B28&lt;&gt;"",Preteky_2027!B28+Preteky_2027!E28&gt;NOW(),Preteky_2027!L28&lt;&gt;"Zrušený"),Preteky_2027!B28+Preteky_2027!E28,"")</f>
        <v/>
      </c>
    </row>
    <row r="29" spans="1:11">
      <c r="A29" s="12">
        <f>IF(Preteky_2027!B2="","",Preteky_2027!B2)</f>
        <v>46495</v>
      </c>
      <c r="B29" t="str">
        <f>IF(Preteky_2027!G2="","",Preteky_2027!G2)</f>
        <v>Generali 1/2Maraton Praha 2027</v>
      </c>
      <c r="C29" t="str">
        <f>IF(Preteky_2027!H2="","",Preteky_2027!H2)</f>
        <v>Praha</v>
      </c>
      <c r="D29" s="13">
        <f>IF(Preteky_2027!J2="","",Preteky_2027!J2)</f>
        <v>21</v>
      </c>
      <c r="E29" t="str">
        <f>IF(Preteky_2027!K2="","",Preteky_2027!K2)</f>
        <v>A</v>
      </c>
      <c r="F29" t="str">
        <f>IF(Preteky_2027!L2="","",Preteky_2027!L2)</f>
        <v>Plánujem</v>
      </c>
      <c r="G29" s="14" t="str">
        <f>IF(Preteky_2027!Q2="","",Preteky_2027!Q2)</f>
        <v/>
      </c>
      <c r="H29" s="15" t="str">
        <f>IF(Preteky_2027!T2="","",Preteky_2027!T2)</f>
        <v/>
      </c>
      <c r="J29" s="17"/>
      <c r="K29" s="17" t="str">
        <f ca="1">IF(AND(Preteky_2027!B29&lt;&gt;"",Preteky_2027!B29+Preteky_2027!E29&gt;NOW(),Preteky_2027!L29&lt;&gt;"Zrušený"),Preteky_2027!B29+Preteky_2027!E29,"")</f>
        <v/>
      </c>
    </row>
    <row r="30" spans="1:11">
      <c r="A30" s="12">
        <f>IF(Preteky_2027!B3="","",Preteky_2027!B3)</f>
        <v>46557</v>
      </c>
      <c r="B30" t="str">
        <f>IF(Preteky_2027!G3="","",Preteky_2027!G3)</f>
        <v>G-Schock Runday Trávnica</v>
      </c>
      <c r="C30" t="str">
        <f>IF(Preteky_2027!H3="","",Preteky_2027!H3)</f>
        <v>Trávnica</v>
      </c>
      <c r="D30" s="13">
        <f>IF(Preteky_2027!J3="","",Preteky_2027!J3)</f>
        <v>8</v>
      </c>
      <c r="E30" t="str">
        <f>IF(Preteky_2027!K3="","",Preteky_2027!K3)</f>
        <v>B</v>
      </c>
      <c r="F30" t="str">
        <f>IF(Preteky_2027!L3="","",Preteky_2027!L3)</f>
        <v>Plánujem</v>
      </c>
      <c r="G30" s="14">
        <f>IF(Preteky_2027!Q3="","",Preteky_2027!Q3)</f>
        <v>62</v>
      </c>
      <c r="H30" s="15">
        <f>IF(Preteky_2027!T3="","",Preteky_2027!T3)</f>
        <v>8.8571428571428577</v>
      </c>
      <c r="J30" s="17"/>
      <c r="K30" s="17" t="str">
        <f ca="1">IF(AND(Preteky_2027!B30&lt;&gt;"",Preteky_2027!B30+Preteky_2027!E30&gt;NOW(),Preteky_2027!L30&lt;&gt;"Zrušený"),Preteky_2027!B30+Preteky_2027!E30,"")</f>
        <v/>
      </c>
    </row>
    <row r="31" spans="1:11">
      <c r="A31" s="12">
        <f>IF(Preteky_2027!B4="","",Preteky_2027!B4)</f>
        <v>46663</v>
      </c>
      <c r="B31" t="str">
        <f>IF(Preteky_2027!G4="","",Preteky_2027!G4)</f>
        <v>Košice Peace Marathon</v>
      </c>
      <c r="C31" t="str">
        <f>IF(Preteky_2027!H4="","",Preteky_2027!H4)</f>
        <v>Košice</v>
      </c>
      <c r="D31" s="13">
        <f>IF(Preteky_2027!J4="","",Preteky_2027!J4)</f>
        <v>42</v>
      </c>
      <c r="E31" t="str">
        <f>IF(Preteky_2027!K4="","",Preteky_2027!K4)</f>
        <v>A</v>
      </c>
      <c r="F31" t="str">
        <f>IF(Preteky_2027!L4="","",Preteky_2027!L4)</f>
        <v>Plánujem</v>
      </c>
      <c r="G31" s="14">
        <f>IF(Preteky_2027!Q4="","",Preteky_2027!Q4)</f>
        <v>106</v>
      </c>
      <c r="H31" s="15">
        <f>IF(Preteky_2027!T4="","",Preteky_2027!T4)</f>
        <v>15.142857142857142</v>
      </c>
      <c r="J31" s="17"/>
      <c r="K31" s="17" t="str">
        <f ca="1">IF(AND(Preteky_2027!B31&lt;&gt;"",Preteky_2027!B31+Preteky_2027!E31&gt;NOW(),Preteky_2027!L31&lt;&gt;"Zrušený"),Preteky_2027!B31+Preteky_2027!E31,"")</f>
        <v/>
      </c>
    </row>
    <row r="32" spans="1:11">
      <c r="A32" s="12" t="str">
        <f>IF(Preteky_2027!B5="","",Preteky_2027!B5)</f>
        <v/>
      </c>
      <c r="B32" t="str">
        <f>IF(Preteky_2027!G5="","",Preteky_2027!G5)</f>
        <v/>
      </c>
      <c r="C32" t="str">
        <f>IF(Preteky_2027!H5="","",Preteky_2027!H5)</f>
        <v/>
      </c>
      <c r="D32" s="13" t="str">
        <f>IF(Preteky_2027!J5="","",Preteky_2027!J5)</f>
        <v/>
      </c>
      <c r="E32" t="str">
        <f>IF(Preteky_2027!K5="","",Preteky_2027!K5)</f>
        <v/>
      </c>
      <c r="F32" t="str">
        <f>IF(Preteky_2027!L5="","",Preteky_2027!L5)</f>
        <v/>
      </c>
      <c r="G32" s="14" t="str">
        <f>IF(Preteky_2027!Q5="","",Preteky_2027!Q5)</f>
        <v/>
      </c>
      <c r="H32" s="15" t="str">
        <f>IF(Preteky_2027!T5="","",Preteky_2027!T5)</f>
        <v/>
      </c>
      <c r="J32" s="17"/>
      <c r="K32" s="17" t="str">
        <f ca="1">IF(AND(Preteky_2027!B32&lt;&gt;"",Preteky_2027!B32+Preteky_2027!E32&gt;NOW(),Preteky_2027!L32&lt;&gt;"Zrušený"),Preteky_2027!B32+Preteky_2027!E32,"")</f>
        <v/>
      </c>
    </row>
    <row r="33" spans="1:11">
      <c r="A33" s="12" t="str">
        <f>IF(Preteky_2027!B6="","",Preteky_2027!B6)</f>
        <v/>
      </c>
      <c r="B33" t="str">
        <f>IF(Preteky_2027!G6="","",Preteky_2027!G6)</f>
        <v/>
      </c>
      <c r="C33" t="str">
        <f>IF(Preteky_2027!H6="","",Preteky_2027!H6)</f>
        <v/>
      </c>
      <c r="D33" s="13" t="str">
        <f>IF(Preteky_2027!J6="","",Preteky_2027!J6)</f>
        <v/>
      </c>
      <c r="E33" t="str">
        <f>IF(Preteky_2027!K6="","",Preteky_2027!K6)</f>
        <v/>
      </c>
      <c r="F33" t="str">
        <f>IF(Preteky_2027!L6="","",Preteky_2027!L6)</f>
        <v/>
      </c>
      <c r="G33" s="14" t="str">
        <f>IF(Preteky_2027!Q6="","",Preteky_2027!Q6)</f>
        <v/>
      </c>
      <c r="H33" s="15" t="str">
        <f>IF(Preteky_2027!T6="","",Preteky_2027!T6)</f>
        <v/>
      </c>
      <c r="J33" s="17"/>
      <c r="K33" s="17" t="str">
        <f ca="1">IF(AND(Preteky_2027!B33&lt;&gt;"",Preteky_2027!B33+Preteky_2027!E33&gt;NOW(),Preteky_2027!L33&lt;&gt;"Zrušený"),Preteky_2027!B33+Preteky_2027!E33,"")</f>
        <v/>
      </c>
    </row>
    <row r="34" spans="1:11">
      <c r="A34" s="12" t="str">
        <f>IF(Preteky_2027!B7="","",Preteky_2027!B7)</f>
        <v/>
      </c>
      <c r="B34" t="str">
        <f>IF(Preteky_2027!G7="","",Preteky_2027!G7)</f>
        <v/>
      </c>
      <c r="C34" t="str">
        <f>IF(Preteky_2027!H7="","",Preteky_2027!H7)</f>
        <v/>
      </c>
      <c r="D34" s="13" t="str">
        <f>IF(Preteky_2027!J7="","",Preteky_2027!J7)</f>
        <v/>
      </c>
      <c r="E34" t="str">
        <f>IF(Preteky_2027!K7="","",Preteky_2027!K7)</f>
        <v/>
      </c>
      <c r="F34" t="str">
        <f>IF(Preteky_2027!L7="","",Preteky_2027!L7)</f>
        <v/>
      </c>
      <c r="G34" s="14" t="str">
        <f>IF(Preteky_2027!Q7="","",Preteky_2027!Q7)</f>
        <v/>
      </c>
      <c r="H34" s="15" t="str">
        <f>IF(Preteky_2027!T7="","",Preteky_2027!T7)</f>
        <v/>
      </c>
      <c r="J34" s="17"/>
      <c r="K34" s="17" t="str">
        <f ca="1">IF(AND(Preteky_2027!B34&lt;&gt;"",Preteky_2027!B34+Preteky_2027!E34&gt;NOW(),Preteky_2027!L34&lt;&gt;"Zrušený"),Preteky_2027!B34+Preteky_2027!E34,"")</f>
        <v/>
      </c>
    </row>
    <row r="35" spans="1:11">
      <c r="A35" s="12" t="str">
        <f>IF(Preteky_2027!B8="","",Preteky_2027!B8)</f>
        <v/>
      </c>
      <c r="B35" t="str">
        <f>IF(Preteky_2027!G8="","",Preteky_2027!G8)</f>
        <v/>
      </c>
      <c r="C35" t="str">
        <f>IF(Preteky_2027!H8="","",Preteky_2027!H8)</f>
        <v/>
      </c>
      <c r="D35" s="13" t="str">
        <f>IF(Preteky_2027!J8="","",Preteky_2027!J8)</f>
        <v/>
      </c>
      <c r="E35" t="str">
        <f>IF(Preteky_2027!K8="","",Preteky_2027!K8)</f>
        <v/>
      </c>
      <c r="F35" t="str">
        <f>IF(Preteky_2027!L8="","",Preteky_2027!L8)</f>
        <v/>
      </c>
      <c r="G35" s="14" t="str">
        <f>IF(Preteky_2027!Q8="","",Preteky_2027!Q8)</f>
        <v/>
      </c>
      <c r="H35" s="15" t="str">
        <f>IF(Preteky_2027!T8="","",Preteky_2027!T8)</f>
        <v/>
      </c>
      <c r="J35" s="17"/>
      <c r="K35" s="17" t="str">
        <f ca="1">IF(AND(Preteky_2027!B35&lt;&gt;"",Preteky_2027!B35+Preteky_2027!E35&gt;NOW(),Preteky_2027!L35&lt;&gt;"Zrušený"),Preteky_2027!B35+Preteky_2027!E35,"")</f>
        <v/>
      </c>
    </row>
    <row r="36" spans="1:11">
      <c r="A36" s="12" t="str">
        <f>IF(Preteky_2027!B9="","",Preteky_2027!B9)</f>
        <v/>
      </c>
      <c r="B36" t="str">
        <f>IF(Preteky_2027!G9="","",Preteky_2027!G9)</f>
        <v/>
      </c>
      <c r="C36" t="str">
        <f>IF(Preteky_2027!H9="","",Preteky_2027!H9)</f>
        <v/>
      </c>
      <c r="D36" s="13" t="str">
        <f>IF(Preteky_2027!J9="","",Preteky_2027!J9)</f>
        <v/>
      </c>
      <c r="E36" t="str">
        <f>IF(Preteky_2027!K9="","",Preteky_2027!K9)</f>
        <v/>
      </c>
      <c r="F36" t="str">
        <f>IF(Preteky_2027!L9="","",Preteky_2027!L9)</f>
        <v/>
      </c>
      <c r="G36" s="14" t="str">
        <f>IF(Preteky_2027!Q9="","",Preteky_2027!Q9)</f>
        <v/>
      </c>
      <c r="H36" s="15" t="str">
        <f>IF(Preteky_2027!T9="","",Preteky_2027!T9)</f>
        <v/>
      </c>
      <c r="J36" s="17"/>
      <c r="K36" s="17" t="str">
        <f ca="1">IF(AND(Preteky_2027!B36&lt;&gt;"",Preteky_2027!B36+Preteky_2027!E36&gt;NOW(),Preteky_2027!L36&lt;&gt;"Zrušený"),Preteky_2027!B36+Preteky_2027!E36,"")</f>
        <v/>
      </c>
    </row>
    <row r="37" spans="1:11">
      <c r="A37" s="12" t="str">
        <f>IF(Preteky_2027!B10="","",Preteky_2027!B10)</f>
        <v/>
      </c>
      <c r="B37" t="str">
        <f>IF(Preteky_2027!G10="","",Preteky_2027!G10)</f>
        <v/>
      </c>
      <c r="C37" t="str">
        <f>IF(Preteky_2027!H10="","",Preteky_2027!H10)</f>
        <v/>
      </c>
      <c r="D37" s="13" t="str">
        <f>IF(Preteky_2027!J10="","",Preteky_2027!J10)</f>
        <v/>
      </c>
      <c r="E37" t="str">
        <f>IF(Preteky_2027!K10="","",Preteky_2027!K10)</f>
        <v/>
      </c>
      <c r="F37" t="str">
        <f>IF(Preteky_2027!L10="","",Preteky_2027!L10)</f>
        <v/>
      </c>
      <c r="G37" s="14" t="str">
        <f>IF(Preteky_2027!Q10="","",Preteky_2027!Q10)</f>
        <v/>
      </c>
      <c r="H37" s="15" t="str">
        <f>IF(Preteky_2027!T10="","",Preteky_2027!T10)</f>
        <v/>
      </c>
      <c r="J37" s="17"/>
      <c r="K37" s="17" t="str">
        <f ca="1">IF(AND(Preteky_2027!B37&lt;&gt;"",Preteky_2027!B37+Preteky_2027!E37&gt;NOW(),Preteky_2027!L37&lt;&gt;"Zrušený"),Preteky_2027!B37+Preteky_2027!E37,"")</f>
        <v/>
      </c>
    </row>
    <row r="38" spans="1:11">
      <c r="A38" s="12" t="str">
        <f>IF(Preteky_2027!B11="","",Preteky_2027!B11)</f>
        <v/>
      </c>
      <c r="B38" t="str">
        <f>IF(Preteky_2027!G11="","",Preteky_2027!G11)</f>
        <v/>
      </c>
      <c r="C38" t="str">
        <f>IF(Preteky_2027!H11="","",Preteky_2027!H11)</f>
        <v/>
      </c>
      <c r="D38" s="13" t="str">
        <f>IF(Preteky_2027!J11="","",Preteky_2027!J11)</f>
        <v/>
      </c>
      <c r="E38" t="str">
        <f>IF(Preteky_2027!K11="","",Preteky_2027!K11)</f>
        <v/>
      </c>
      <c r="F38" t="str">
        <f>IF(Preteky_2027!L11="","",Preteky_2027!L11)</f>
        <v/>
      </c>
      <c r="G38" s="14" t="str">
        <f>IF(Preteky_2027!Q11="","",Preteky_2027!Q11)</f>
        <v/>
      </c>
      <c r="H38" s="15" t="str">
        <f>IF(Preteky_2027!T11="","",Preteky_2027!T11)</f>
        <v/>
      </c>
      <c r="J38" s="17"/>
      <c r="K38" s="17" t="str">
        <f ca="1">IF(AND(Preteky_2027!B38&lt;&gt;"",Preteky_2027!B38+Preteky_2027!E38&gt;NOW(),Preteky_2027!L38&lt;&gt;"Zrušený"),Preteky_2027!B38+Preteky_2027!E38,"")</f>
        <v/>
      </c>
    </row>
    <row r="39" spans="1:11">
      <c r="A39" s="12" t="str">
        <f>IF(Preteky_2027!B12="","",Preteky_2027!B12)</f>
        <v/>
      </c>
      <c r="B39" t="str">
        <f>IF(Preteky_2027!G12="","",Preteky_2027!G12)</f>
        <v/>
      </c>
      <c r="C39" t="str">
        <f>IF(Preteky_2027!H12="","",Preteky_2027!H12)</f>
        <v/>
      </c>
      <c r="D39" s="13" t="str">
        <f>IF(Preteky_2027!J12="","",Preteky_2027!J12)</f>
        <v/>
      </c>
      <c r="E39" t="str">
        <f>IF(Preteky_2027!K12="","",Preteky_2027!K12)</f>
        <v/>
      </c>
      <c r="F39" t="str">
        <f>IF(Preteky_2027!L12="","",Preteky_2027!L12)</f>
        <v/>
      </c>
      <c r="G39" s="14" t="str">
        <f>IF(Preteky_2027!Q12="","",Preteky_2027!Q12)</f>
        <v/>
      </c>
      <c r="H39" s="15" t="str">
        <f>IF(Preteky_2027!T12="","",Preteky_2027!T12)</f>
        <v/>
      </c>
      <c r="J39" s="17"/>
      <c r="K39" s="17" t="str">
        <f ca="1">IF(AND(Preteky_2027!B39&lt;&gt;"",Preteky_2027!B39+Preteky_2027!E39&gt;NOW(),Preteky_2027!L39&lt;&gt;"Zrušený"),Preteky_2027!B39+Preteky_2027!E39,"")</f>
        <v/>
      </c>
    </row>
    <row r="40" spans="1:11">
      <c r="A40" s="12" t="str">
        <f>IF(Preteky_2027!B13="","",Preteky_2027!B13)</f>
        <v/>
      </c>
      <c r="B40" t="str">
        <f>IF(Preteky_2027!G13="","",Preteky_2027!G13)</f>
        <v/>
      </c>
      <c r="C40" t="str">
        <f>IF(Preteky_2027!H13="","",Preteky_2027!H13)</f>
        <v/>
      </c>
      <c r="D40" s="13" t="str">
        <f>IF(Preteky_2027!J13="","",Preteky_2027!J13)</f>
        <v/>
      </c>
      <c r="E40" t="str">
        <f>IF(Preteky_2027!K13="","",Preteky_2027!K13)</f>
        <v/>
      </c>
      <c r="F40" t="str">
        <f>IF(Preteky_2027!L13="","",Preteky_2027!L13)</f>
        <v/>
      </c>
      <c r="G40" s="14" t="str">
        <f>IF(Preteky_2027!Q13="","",Preteky_2027!Q13)</f>
        <v/>
      </c>
      <c r="H40" s="15" t="str">
        <f>IF(Preteky_2027!T13="","",Preteky_2027!T13)</f>
        <v/>
      </c>
      <c r="J40" s="17"/>
      <c r="K40" s="17" t="str">
        <f ca="1">IF(AND(Preteky_2027!B40&lt;&gt;"",Preteky_2027!B40+Preteky_2027!E40&gt;NOW(),Preteky_2027!L40&lt;&gt;"Zrušený"),Preteky_2027!B40+Preteky_2027!E40,"")</f>
        <v/>
      </c>
    </row>
    <row r="41" spans="1:11">
      <c r="J41" s="17"/>
      <c r="K41" s="17" t="str">
        <f ca="1">IF(AND(Preteky_2027!B41&lt;&gt;"",Preteky_2027!B41+Preteky_2027!E41&gt;NOW(),Preteky_2027!L41&lt;&gt;"Zrušený"),Preteky_2027!B41+Preteky_2027!E41,"")</f>
        <v/>
      </c>
    </row>
    <row r="42" spans="1:11" ht="23.5">
      <c r="A42" s="16" t="s">
        <v>64</v>
      </c>
      <c r="B42" s="16" t="s">
        <v>65</v>
      </c>
      <c r="C42" s="16" t="s">
        <v>66</v>
      </c>
      <c r="D42" s="16" t="s">
        <v>67</v>
      </c>
      <c r="E42" s="16"/>
      <c r="F42" s="16"/>
      <c r="G42" s="16"/>
      <c r="H42" s="16"/>
      <c r="J42" s="17"/>
      <c r="K42" s="17" t="str">
        <f ca="1">IF(AND(Preteky_2027!B42&lt;&gt;"",Preteky_2027!B42+Preteky_2027!E42&gt;NOW(),Preteky_2027!L42&lt;&gt;"Zrušený"),Preteky_2027!B42+Preteky_2027!E42,"")</f>
        <v/>
      </c>
    </row>
    <row r="43" spans="1:11">
      <c r="J43" s="17"/>
      <c r="K43" s="17" t="str">
        <f ca="1">IF(AND(Preteky_2027!B43&lt;&gt;"",Preteky_2027!B43+Preteky_2027!E43&gt;NOW(),Preteky_2027!L43&lt;&gt;"Zrušený"),Preteky_2027!B43+Preteky_2027!E43,"")</f>
        <v/>
      </c>
    </row>
    <row r="44" spans="1:11">
      <c r="J44" s="17"/>
      <c r="K44" s="17" t="str">
        <f ca="1">IF(AND(Preteky_2027!B44&lt;&gt;"",Preteky_2027!B44+Preteky_2027!E44&gt;NOW(),Preteky_2027!L44&lt;&gt;"Zrušený"),Preteky_2027!B44+Preteky_2027!E44,"")</f>
        <v/>
      </c>
    </row>
    <row r="45" spans="1:11">
      <c r="J45" s="17"/>
      <c r="K45" s="17" t="str">
        <f ca="1">IF(AND(Preteky_2027!B45&lt;&gt;"",Preteky_2027!B45+Preteky_2027!E45&gt;NOW(),Preteky_2027!L45&lt;&gt;"Zrušený"),Preteky_2027!B45+Preteky_2027!E45,"")</f>
        <v/>
      </c>
    </row>
    <row r="46" spans="1:11">
      <c r="J46" s="17"/>
      <c r="K46" s="17" t="str">
        <f ca="1">IF(AND(Preteky_2027!B46&lt;&gt;"",Preteky_2027!B46+Preteky_2027!E46&gt;NOW(),Preteky_2027!L46&lt;&gt;"Zrušený"),Preteky_2027!B46+Preteky_2027!E46,"")</f>
        <v/>
      </c>
    </row>
    <row r="47" spans="1:11">
      <c r="J47" s="17"/>
      <c r="K47" s="17" t="str">
        <f ca="1">IF(AND(Preteky_2027!B47&lt;&gt;"",Preteky_2027!B47+Preteky_2027!E47&gt;NOW(),Preteky_2027!L47&lt;&gt;"Zrušený"),Preteky_2027!B47+Preteky_2027!E47,"")</f>
        <v/>
      </c>
    </row>
    <row r="48" spans="1:11">
      <c r="J48" s="17"/>
      <c r="K48" s="17" t="str">
        <f ca="1">IF(AND(Preteky_2027!B48&lt;&gt;"",Preteky_2027!B48+Preteky_2027!E48&gt;NOW(),Preteky_2027!L48&lt;&gt;"Zrušený"),Preteky_2027!B48+Preteky_2027!E48,"")</f>
        <v/>
      </c>
    </row>
    <row r="49" spans="10:11">
      <c r="J49" s="17"/>
      <c r="K49" s="17" t="str">
        <f ca="1">IF(AND(Preteky_2027!B49&lt;&gt;"",Preteky_2027!B49+Preteky_2027!E49&gt;NOW(),Preteky_2027!L49&lt;&gt;"Zrušený"),Preteky_2027!B49+Preteky_2027!E49,"")</f>
        <v/>
      </c>
    </row>
    <row r="50" spans="10:11">
      <c r="J50" s="17"/>
      <c r="K50" s="17" t="str">
        <f ca="1">IF(AND(Preteky_2027!B50&lt;&gt;"",Preteky_2027!B50+Preteky_2027!E50&gt;NOW(),Preteky_2027!L50&lt;&gt;"Zrušený"),Preteky_2027!B50+Preteky_2027!E50,"")</f>
        <v/>
      </c>
    </row>
    <row r="51" spans="10:11">
      <c r="J51" s="17"/>
      <c r="K51" s="17" t="str">
        <f ca="1">IF(AND(Preteky_2027!B51&lt;&gt;"",Preteky_2027!B51+Preteky_2027!E51&gt;NOW(),Preteky_2027!L51&lt;&gt;"Zrušený"),Preteky_2027!B51+Preteky_2027!E51,"")</f>
        <v/>
      </c>
    </row>
    <row r="52" spans="10:11">
      <c r="J52" s="17"/>
      <c r="K52" s="17" t="str">
        <f ca="1">IF(AND(Preteky_2027!B52&lt;&gt;"",Preteky_2027!B52+Preteky_2027!E52&gt;NOW(),Preteky_2027!L52&lt;&gt;"Zrušený"),Preteky_2027!B52+Preteky_2027!E52,"")</f>
        <v/>
      </c>
    </row>
    <row r="53" spans="10:11">
      <c r="J53" s="17"/>
      <c r="K53" s="17" t="str">
        <f ca="1">IF(AND(Preteky_2027!B53&lt;&gt;"",Preteky_2027!B53+Preteky_2027!E53&gt;NOW(),Preteky_2027!L53&lt;&gt;"Zrušený"),Preteky_2027!B53+Preteky_2027!E53,"")</f>
        <v/>
      </c>
    </row>
    <row r="54" spans="10:11">
      <c r="J54" s="17"/>
      <c r="K54" s="17" t="str">
        <f ca="1">IF(AND(Preteky_2027!B54&lt;&gt;"",Preteky_2027!B54+Preteky_2027!E54&gt;NOW(),Preteky_2027!L54&lt;&gt;"Zrušený"),Preteky_2027!B54+Preteky_2027!E54,"")</f>
        <v/>
      </c>
    </row>
    <row r="55" spans="10:11">
      <c r="J55" s="17"/>
      <c r="K55" s="17" t="str">
        <f ca="1">IF(AND(Preteky_2027!B55&lt;&gt;"",Preteky_2027!B55+Preteky_2027!E55&gt;NOW(),Preteky_2027!L55&lt;&gt;"Zrušený"),Preteky_2027!B55+Preteky_2027!E55,"")</f>
        <v/>
      </c>
    </row>
    <row r="56" spans="10:11">
      <c r="J56" s="17"/>
      <c r="K56" s="17" t="str">
        <f ca="1">IF(AND(Preteky_2027!B56&lt;&gt;"",Preteky_2027!B56+Preteky_2027!E56&gt;NOW(),Preteky_2027!L56&lt;&gt;"Zrušený"),Preteky_2027!B56+Preteky_2027!E56,"")</f>
        <v/>
      </c>
    </row>
    <row r="57" spans="10:11">
      <c r="J57" s="17"/>
      <c r="K57" s="17" t="str">
        <f ca="1">IF(AND(Preteky_2027!B57&lt;&gt;"",Preteky_2027!B57+Preteky_2027!E57&gt;NOW(),Preteky_2027!L57&lt;&gt;"Zrušený"),Preteky_2027!B57+Preteky_2027!E57,"")</f>
        <v/>
      </c>
    </row>
    <row r="58" spans="10:11">
      <c r="J58" s="17"/>
      <c r="K58" s="17" t="str">
        <f ca="1">IF(AND(Preteky_2027!B58&lt;&gt;"",Preteky_2027!B58+Preteky_2027!E58&gt;NOW(),Preteky_2027!L58&lt;&gt;"Zrušený"),Preteky_2027!B58+Preteky_2027!E58,"")</f>
        <v/>
      </c>
    </row>
    <row r="59" spans="10:11">
      <c r="J59" s="17"/>
      <c r="K59" s="17" t="str">
        <f ca="1">IF(AND(Preteky_2027!B59&lt;&gt;"",Preteky_2027!B59+Preteky_2027!E59&gt;NOW(),Preteky_2027!L59&lt;&gt;"Zrušený"),Preteky_2027!B59+Preteky_2027!E59,"")</f>
        <v/>
      </c>
    </row>
    <row r="60" spans="10:11">
      <c r="J60" s="17"/>
      <c r="K60" s="17" t="str">
        <f ca="1">IF(AND(Preteky_2027!B60&lt;&gt;"",Preteky_2027!B60+Preteky_2027!E60&gt;NOW(),Preteky_2027!L60&lt;&gt;"Zrušený"),Preteky_2027!B60+Preteky_2027!E60,"")</f>
        <v/>
      </c>
    </row>
    <row r="61" spans="10:11">
      <c r="J61" s="17"/>
      <c r="K61" s="17" t="str">
        <f ca="1">IF(AND(Preteky_2027!B61&lt;&gt;"",Preteky_2027!B61+Preteky_2027!E61&gt;NOW(),Preteky_2027!L61&lt;&gt;"Zrušený"),Preteky_2027!B61+Preteky_2027!E61,"")</f>
        <v/>
      </c>
    </row>
    <row r="62" spans="10:11">
      <c r="J62" s="17"/>
      <c r="K62" s="17" t="str">
        <f ca="1">IF(AND(Preteky_2027!B62&lt;&gt;"",Preteky_2027!B62+Preteky_2027!E62&gt;NOW(),Preteky_2027!L62&lt;&gt;"Zrušený"),Preteky_2027!B62+Preteky_2027!E62,"")</f>
        <v/>
      </c>
    </row>
    <row r="63" spans="10:11">
      <c r="J63" s="17"/>
      <c r="K63" s="17" t="str">
        <f ca="1">IF(AND(Preteky_2027!B63&lt;&gt;"",Preteky_2027!B63+Preteky_2027!E63&gt;NOW(),Preteky_2027!L63&lt;&gt;"Zrušený"),Preteky_2027!B63+Preteky_2027!E63,"")</f>
        <v/>
      </c>
    </row>
    <row r="64" spans="10:11">
      <c r="J64" s="17"/>
      <c r="K64" s="17" t="str">
        <f ca="1">IF(AND(Preteky_2027!B64&lt;&gt;"",Preteky_2027!B64+Preteky_2027!E64&gt;NOW(),Preteky_2027!L64&lt;&gt;"Zrušený"),Preteky_2027!B64+Preteky_2027!E64,"")</f>
        <v/>
      </c>
    </row>
    <row r="65" spans="10:11">
      <c r="J65" s="17"/>
      <c r="K65" s="17" t="str">
        <f ca="1">IF(AND(Preteky_2027!B65&lt;&gt;"",Preteky_2027!B65+Preteky_2027!E65&gt;NOW(),Preteky_2027!L65&lt;&gt;"Zrušený"),Preteky_2027!B65+Preteky_2027!E65,"")</f>
        <v/>
      </c>
    </row>
    <row r="66" spans="10:11">
      <c r="J66" s="17"/>
      <c r="K66" s="17" t="str">
        <f ca="1">IF(AND(Preteky_2027!B66&lt;&gt;"",Preteky_2027!B66+Preteky_2027!E66&gt;NOW(),Preteky_2027!L66&lt;&gt;"Zrušený"),Preteky_2027!B66+Preteky_2027!E66,"")</f>
        <v/>
      </c>
    </row>
    <row r="67" spans="10:11">
      <c r="J67" s="17"/>
      <c r="K67" s="17" t="str">
        <f ca="1">IF(AND(Preteky_2027!B67&lt;&gt;"",Preteky_2027!B67+Preteky_2027!E67&gt;NOW(),Preteky_2027!L67&lt;&gt;"Zrušený"),Preteky_2027!B67+Preteky_2027!E67,"")</f>
        <v/>
      </c>
    </row>
    <row r="68" spans="10:11">
      <c r="J68" s="17"/>
      <c r="K68" s="17" t="str">
        <f ca="1">IF(AND(Preteky_2027!B68&lt;&gt;"",Preteky_2027!B68+Preteky_2027!E68&gt;NOW(),Preteky_2027!L68&lt;&gt;"Zrušený"),Preteky_2027!B68+Preteky_2027!E68,"")</f>
        <v/>
      </c>
    </row>
    <row r="69" spans="10:11">
      <c r="J69" s="17"/>
      <c r="K69" s="17" t="str">
        <f ca="1">IF(AND(Preteky_2027!B69&lt;&gt;"",Preteky_2027!B69+Preteky_2027!E69&gt;NOW(),Preteky_2027!L69&lt;&gt;"Zrušený"),Preteky_2027!B69+Preteky_2027!E69,"")</f>
        <v/>
      </c>
    </row>
    <row r="70" spans="10:11">
      <c r="J70" s="17"/>
      <c r="K70" s="17" t="str">
        <f ca="1">IF(AND(Preteky_2027!B70&lt;&gt;"",Preteky_2027!B70+Preteky_2027!E70&gt;NOW(),Preteky_2027!L70&lt;&gt;"Zrušený"),Preteky_2027!B70+Preteky_2027!E70,"")</f>
        <v/>
      </c>
    </row>
    <row r="71" spans="10:11">
      <c r="J71" s="17"/>
      <c r="K71" s="17" t="str">
        <f ca="1">IF(AND(Preteky_2027!B71&lt;&gt;"",Preteky_2027!B71+Preteky_2027!E71&gt;NOW(),Preteky_2027!L71&lt;&gt;"Zrušený"),Preteky_2027!B71+Preteky_2027!E71,"")</f>
        <v/>
      </c>
    </row>
    <row r="72" spans="10:11">
      <c r="J72" s="17"/>
      <c r="K72" s="17" t="str">
        <f ca="1">IF(AND(Preteky_2027!B72&lt;&gt;"",Preteky_2027!B72+Preteky_2027!E72&gt;NOW(),Preteky_2027!L72&lt;&gt;"Zrušený"),Preteky_2027!B72+Preteky_2027!E72,"")</f>
        <v/>
      </c>
    </row>
    <row r="73" spans="10:11">
      <c r="J73" s="17"/>
      <c r="K73" s="17" t="str">
        <f ca="1">IF(AND(Preteky_2027!B73&lt;&gt;"",Preteky_2027!B73+Preteky_2027!E73&gt;NOW(),Preteky_2027!L73&lt;&gt;"Zrušený"),Preteky_2027!B73+Preteky_2027!E73,"")</f>
        <v/>
      </c>
    </row>
    <row r="74" spans="10:11">
      <c r="J74" s="17"/>
      <c r="K74" s="17" t="str">
        <f ca="1">IF(AND(Preteky_2027!B74&lt;&gt;"",Preteky_2027!B74+Preteky_2027!E74&gt;NOW(),Preteky_2027!L74&lt;&gt;"Zrušený"),Preteky_2027!B74+Preteky_2027!E74,"")</f>
        <v/>
      </c>
    </row>
    <row r="75" spans="10:11">
      <c r="J75" s="17"/>
      <c r="K75" s="17" t="str">
        <f ca="1">IF(AND(Preteky_2027!B75&lt;&gt;"",Preteky_2027!B75+Preteky_2027!E75&gt;NOW(),Preteky_2027!L75&lt;&gt;"Zrušený"),Preteky_2027!B75+Preteky_2027!E75,"")</f>
        <v/>
      </c>
    </row>
    <row r="76" spans="10:11">
      <c r="J76" s="17"/>
      <c r="K76" s="17" t="str">
        <f ca="1">IF(AND(Preteky_2027!B76&lt;&gt;"",Preteky_2027!B76+Preteky_2027!E76&gt;NOW(),Preteky_2027!L76&lt;&gt;"Zrušený"),Preteky_2027!B76+Preteky_2027!E76,"")</f>
        <v/>
      </c>
    </row>
    <row r="77" spans="10:11">
      <c r="J77" s="17"/>
      <c r="K77" s="17" t="str">
        <f ca="1">IF(AND(Preteky_2027!B77&lt;&gt;"",Preteky_2027!B77+Preteky_2027!E77&gt;NOW(),Preteky_2027!L77&lt;&gt;"Zrušený"),Preteky_2027!B77+Preteky_2027!E77,"")</f>
        <v/>
      </c>
    </row>
    <row r="78" spans="10:11">
      <c r="J78" s="17"/>
      <c r="K78" s="17" t="str">
        <f ca="1">IF(AND(Preteky_2027!B78&lt;&gt;"",Preteky_2027!B78+Preteky_2027!E78&gt;NOW(),Preteky_2027!L78&lt;&gt;"Zrušený"),Preteky_2027!B78+Preteky_2027!E78,"")</f>
        <v/>
      </c>
    </row>
    <row r="79" spans="10:11">
      <c r="J79" s="17"/>
      <c r="K79" s="17" t="str">
        <f ca="1">IF(AND(Preteky_2027!B79&lt;&gt;"",Preteky_2027!B79+Preteky_2027!E79&gt;NOW(),Preteky_2027!L79&lt;&gt;"Zrušený"),Preteky_2027!B79+Preteky_2027!E79,"")</f>
        <v/>
      </c>
    </row>
    <row r="80" spans="10:11">
      <c r="J80" s="17"/>
      <c r="K80" s="17" t="str">
        <f ca="1">IF(AND(Preteky_2027!B80&lt;&gt;"",Preteky_2027!B80+Preteky_2027!E80&gt;NOW(),Preteky_2027!L80&lt;&gt;"Zrušený"),Preteky_2027!B80+Preteky_2027!E80,"")</f>
        <v/>
      </c>
    </row>
    <row r="81" spans="10:11">
      <c r="J81" s="17"/>
      <c r="K81" s="17" t="str">
        <f ca="1">IF(AND(Preteky_2027!B81&lt;&gt;"",Preteky_2027!B81+Preteky_2027!E81&gt;NOW(),Preteky_2027!L81&lt;&gt;"Zrušený"),Preteky_2027!B81+Preteky_2027!E81,"")</f>
        <v/>
      </c>
    </row>
    <row r="82" spans="10:11">
      <c r="J82" s="17"/>
      <c r="K82" s="17" t="str">
        <f ca="1">IF(AND(Preteky_2027!B82&lt;&gt;"",Preteky_2027!B82+Preteky_2027!E82&gt;NOW(),Preteky_2027!L82&lt;&gt;"Zrušený"),Preteky_2027!B82+Preteky_2027!E82,"")</f>
        <v/>
      </c>
    </row>
    <row r="83" spans="10:11">
      <c r="J83" s="17"/>
      <c r="K83" s="17" t="str">
        <f ca="1">IF(AND(Preteky_2027!B83&lt;&gt;"",Preteky_2027!B83+Preteky_2027!E83&gt;NOW(),Preteky_2027!L83&lt;&gt;"Zrušený"),Preteky_2027!B83+Preteky_2027!E83,"")</f>
        <v/>
      </c>
    </row>
    <row r="84" spans="10:11">
      <c r="J84" s="17"/>
      <c r="K84" s="17" t="str">
        <f ca="1">IF(AND(Preteky_2027!B84&lt;&gt;"",Preteky_2027!B84+Preteky_2027!E84&gt;NOW(),Preteky_2027!L84&lt;&gt;"Zrušený"),Preteky_2027!B84+Preteky_2027!E84,"")</f>
        <v/>
      </c>
    </row>
    <row r="85" spans="10:11">
      <c r="J85" s="17"/>
      <c r="K85" s="17" t="str">
        <f ca="1">IF(AND(Preteky_2027!B85&lt;&gt;"",Preteky_2027!B85+Preteky_2027!E85&gt;NOW(),Preteky_2027!L85&lt;&gt;"Zrušený"),Preteky_2027!B85+Preteky_2027!E85,"")</f>
        <v/>
      </c>
    </row>
    <row r="86" spans="10:11">
      <c r="J86" s="17"/>
      <c r="K86" s="17" t="str">
        <f ca="1">IF(AND(Preteky_2027!B86&lt;&gt;"",Preteky_2027!B86+Preteky_2027!E86&gt;NOW(),Preteky_2027!L86&lt;&gt;"Zrušený"),Preteky_2027!B86+Preteky_2027!E86,"")</f>
        <v/>
      </c>
    </row>
    <row r="87" spans="10:11">
      <c r="J87" s="17"/>
      <c r="K87" s="17" t="str">
        <f ca="1">IF(AND(Preteky_2027!B87&lt;&gt;"",Preteky_2027!B87+Preteky_2027!E87&gt;NOW(),Preteky_2027!L87&lt;&gt;"Zrušený"),Preteky_2027!B87+Preteky_2027!E87,"")</f>
        <v/>
      </c>
    </row>
    <row r="88" spans="10:11">
      <c r="J88" s="17"/>
      <c r="K88" s="17" t="str">
        <f ca="1">IF(AND(Preteky_2027!B88&lt;&gt;"",Preteky_2027!B88+Preteky_2027!E88&gt;NOW(),Preteky_2027!L88&lt;&gt;"Zrušený"),Preteky_2027!B88+Preteky_2027!E88,"")</f>
        <v/>
      </c>
    </row>
    <row r="89" spans="10:11">
      <c r="J89" s="17"/>
      <c r="K89" s="17" t="str">
        <f ca="1">IF(AND(Preteky_2027!B89&lt;&gt;"",Preteky_2027!B89+Preteky_2027!E89&gt;NOW(),Preteky_2027!L89&lt;&gt;"Zrušený"),Preteky_2027!B89+Preteky_2027!E89,"")</f>
        <v/>
      </c>
    </row>
    <row r="90" spans="10:11">
      <c r="J90" s="17"/>
      <c r="K90" s="17" t="str">
        <f ca="1">IF(AND(Preteky_2027!B90&lt;&gt;"",Preteky_2027!B90+Preteky_2027!E90&gt;NOW(),Preteky_2027!L90&lt;&gt;"Zrušený"),Preteky_2027!B90+Preteky_2027!E90,"")</f>
        <v/>
      </c>
    </row>
    <row r="91" spans="10:11">
      <c r="J91" s="17"/>
      <c r="K91" s="17" t="str">
        <f ca="1">IF(AND(Preteky_2027!B91&lt;&gt;"",Preteky_2027!B91+Preteky_2027!E91&gt;NOW(),Preteky_2027!L91&lt;&gt;"Zrušený"),Preteky_2027!B91+Preteky_2027!E91,"")</f>
        <v/>
      </c>
    </row>
    <row r="92" spans="10:11">
      <c r="J92" s="17"/>
      <c r="K92" s="17" t="str">
        <f ca="1">IF(AND(Preteky_2027!B92&lt;&gt;"",Preteky_2027!B92+Preteky_2027!E92&gt;NOW(),Preteky_2027!L92&lt;&gt;"Zrušený"),Preteky_2027!B92+Preteky_2027!E92,"")</f>
        <v/>
      </c>
    </row>
    <row r="93" spans="10:11">
      <c r="J93" s="17"/>
      <c r="K93" s="17" t="str">
        <f ca="1">IF(AND(Preteky_2027!B93&lt;&gt;"",Preteky_2027!B93+Preteky_2027!E93&gt;NOW(),Preteky_2027!L93&lt;&gt;"Zrušený"),Preteky_2027!B93+Preteky_2027!E93,"")</f>
        <v/>
      </c>
    </row>
    <row r="94" spans="10:11">
      <c r="J94" s="17"/>
      <c r="K94" s="17" t="str">
        <f ca="1">IF(AND(Preteky_2027!B94&lt;&gt;"",Preteky_2027!B94+Preteky_2027!E94&gt;NOW(),Preteky_2027!L94&lt;&gt;"Zrušený"),Preteky_2027!B94+Preteky_2027!E94,"")</f>
        <v/>
      </c>
    </row>
    <row r="95" spans="10:11">
      <c r="J95" s="17"/>
      <c r="K95" s="17" t="str">
        <f ca="1">IF(AND(Preteky_2027!B95&lt;&gt;"",Preteky_2027!B95+Preteky_2027!E95&gt;NOW(),Preteky_2027!L95&lt;&gt;"Zrušený"),Preteky_2027!B95+Preteky_2027!E95,"")</f>
        <v/>
      </c>
    </row>
    <row r="96" spans="10:11">
      <c r="J96" s="17"/>
      <c r="K96" s="17" t="str">
        <f ca="1">IF(AND(Preteky_2027!B96&lt;&gt;"",Preteky_2027!B96+Preteky_2027!E96&gt;NOW(),Preteky_2027!L96&lt;&gt;"Zrušený"),Preteky_2027!B96+Preteky_2027!E96,"")</f>
        <v/>
      </c>
    </row>
    <row r="97" spans="10:11">
      <c r="J97" s="17"/>
      <c r="K97" s="17" t="str">
        <f ca="1">IF(AND(Preteky_2027!B97&lt;&gt;"",Preteky_2027!B97+Preteky_2027!E97&gt;NOW(),Preteky_2027!L97&lt;&gt;"Zrušený"),Preteky_2027!B97+Preteky_2027!E97,"")</f>
        <v/>
      </c>
    </row>
    <row r="98" spans="10:11">
      <c r="J98" s="17"/>
      <c r="K98" s="17" t="str">
        <f ca="1">IF(AND(Preteky_2027!B98&lt;&gt;"",Preteky_2027!B98+Preteky_2027!E98&gt;NOW(),Preteky_2027!L98&lt;&gt;"Zrušený"),Preteky_2027!B98+Preteky_2027!E98,"")</f>
        <v/>
      </c>
    </row>
    <row r="99" spans="10:11">
      <c r="J99" s="17"/>
      <c r="K99" s="17" t="str">
        <f ca="1">IF(AND(Preteky_2027!B99&lt;&gt;"",Preteky_2027!B99+Preteky_2027!E99&gt;NOW(),Preteky_2027!L99&lt;&gt;"Zrušený"),Preteky_2027!B99+Preteky_2027!E99,"")</f>
        <v/>
      </c>
    </row>
    <row r="100" spans="10:11">
      <c r="J100" s="17"/>
      <c r="K100" s="17" t="str">
        <f ca="1">IF(AND(Preteky_2027!B100&lt;&gt;"",Preteky_2027!B100+Preteky_2027!E100&gt;NOW(),Preteky_2027!L100&lt;&gt;"Zrušený"),Preteky_2027!B100+Preteky_2027!E100,"")</f>
        <v/>
      </c>
    </row>
    <row r="101" spans="10:11">
      <c r="J101" s="17"/>
      <c r="K101" s="17" t="str">
        <f ca="1">IF(AND(Preteky_2027!B101&lt;&gt;"",Preteky_2027!B101+Preteky_2027!E101&gt;NOW(),Preteky_2027!L101&lt;&gt;"Zrušený"),Preteky_2027!B101+Preteky_2027!E101,"")</f>
        <v/>
      </c>
    </row>
    <row r="102" spans="10:11">
      <c r="J102" s="17"/>
      <c r="K102" s="17" t="str">
        <f ca="1">IF(AND(Preteky_2027!B102&lt;&gt;"",Preteky_2027!B102+Preteky_2027!E102&gt;NOW(),Preteky_2027!L102&lt;&gt;"Zrušený"),Preteky_2027!B102+Preteky_2027!E102,"")</f>
        <v/>
      </c>
    </row>
    <row r="103" spans="10:11">
      <c r="J103" s="17"/>
      <c r="K103" s="17" t="str">
        <f ca="1">IF(AND(Preteky_2027!B103&lt;&gt;"",Preteky_2027!B103+Preteky_2027!E103&gt;NOW(),Preteky_2027!L103&lt;&gt;"Zrušený"),Preteky_2027!B103+Preteky_2027!E103,"")</f>
        <v/>
      </c>
    </row>
    <row r="104" spans="10:11">
      <c r="J104" s="17"/>
      <c r="K104" s="17" t="str">
        <f ca="1">IF(AND(Preteky_2027!B104&lt;&gt;"",Preteky_2027!B104+Preteky_2027!E104&gt;NOW(),Preteky_2027!L104&lt;&gt;"Zrušený"),Preteky_2027!B104+Preteky_2027!E104,"")</f>
        <v/>
      </c>
    </row>
    <row r="105" spans="10:11">
      <c r="J105" s="17"/>
      <c r="K105" s="17" t="str">
        <f ca="1">IF(AND(Preteky_2027!B105&lt;&gt;"",Preteky_2027!B105+Preteky_2027!E105&gt;NOW(),Preteky_2027!L105&lt;&gt;"Zrušený"),Preteky_2027!B105+Preteky_2027!E105,"")</f>
        <v/>
      </c>
    </row>
    <row r="106" spans="10:11">
      <c r="J106" s="17"/>
      <c r="K106" s="17" t="str">
        <f ca="1">IF(AND(Preteky_2027!B106&lt;&gt;"",Preteky_2027!B106+Preteky_2027!E106&gt;NOW(),Preteky_2027!L106&lt;&gt;"Zrušený"),Preteky_2027!B106+Preteky_2027!E106,"")</f>
        <v/>
      </c>
    </row>
    <row r="107" spans="10:11">
      <c r="J107" s="17"/>
      <c r="K107" s="17" t="str">
        <f ca="1">IF(AND(Preteky_2027!B107&lt;&gt;"",Preteky_2027!B107+Preteky_2027!E107&gt;NOW(),Preteky_2027!L107&lt;&gt;"Zrušený"),Preteky_2027!B107+Preteky_2027!E107,"")</f>
        <v/>
      </c>
    </row>
    <row r="108" spans="10:11">
      <c r="J108" s="17"/>
      <c r="K108" s="17" t="str">
        <f ca="1">IF(AND(Preteky_2027!B108&lt;&gt;"",Preteky_2027!B108+Preteky_2027!E108&gt;NOW(),Preteky_2027!L108&lt;&gt;"Zrušený"),Preteky_2027!B108+Preteky_2027!E108,"")</f>
        <v/>
      </c>
    </row>
    <row r="109" spans="10:11">
      <c r="J109" s="17"/>
      <c r="K109" s="17" t="str">
        <f ca="1">IF(AND(Preteky_2027!B109&lt;&gt;"",Preteky_2027!B109+Preteky_2027!E109&gt;NOW(),Preteky_2027!L109&lt;&gt;"Zrušený"),Preteky_2027!B109+Preteky_2027!E109,"")</f>
        <v/>
      </c>
    </row>
    <row r="110" spans="10:11">
      <c r="J110" s="17"/>
      <c r="K110" s="17" t="str">
        <f ca="1">IF(AND(Preteky_2027!B110&lt;&gt;"",Preteky_2027!B110+Preteky_2027!E110&gt;NOW(),Preteky_2027!L110&lt;&gt;"Zrušený"),Preteky_2027!B110+Preteky_2027!E110,"")</f>
        <v/>
      </c>
    </row>
    <row r="111" spans="10:11">
      <c r="J111" s="17"/>
      <c r="K111" s="17" t="str">
        <f ca="1">IF(AND(Preteky_2027!B111&lt;&gt;"",Preteky_2027!B111+Preteky_2027!E111&gt;NOW(),Preteky_2027!L111&lt;&gt;"Zrušený"),Preteky_2027!B111+Preteky_2027!E111,"")</f>
        <v/>
      </c>
    </row>
    <row r="112" spans="10:11">
      <c r="J112" s="17"/>
      <c r="K112" s="17" t="str">
        <f ca="1">IF(AND(Preteky_2027!B112&lt;&gt;"",Preteky_2027!B112+Preteky_2027!E112&gt;NOW(),Preteky_2027!L112&lt;&gt;"Zrušený"),Preteky_2027!B112+Preteky_2027!E112,"")</f>
        <v/>
      </c>
    </row>
    <row r="113" spans="10:11">
      <c r="J113" s="17"/>
      <c r="K113" s="17" t="str">
        <f ca="1">IF(AND(Preteky_2027!B113&lt;&gt;"",Preteky_2027!B113+Preteky_2027!E113&gt;NOW(),Preteky_2027!L113&lt;&gt;"Zrušený"),Preteky_2027!B113+Preteky_2027!E113,"")</f>
        <v/>
      </c>
    </row>
    <row r="114" spans="10:11">
      <c r="J114" s="17"/>
      <c r="K114" s="17" t="str">
        <f ca="1">IF(AND(Preteky_2027!B114&lt;&gt;"",Preteky_2027!B114+Preteky_2027!E114&gt;NOW(),Preteky_2027!L114&lt;&gt;"Zrušený"),Preteky_2027!B114+Preteky_2027!E114,"")</f>
        <v/>
      </c>
    </row>
    <row r="115" spans="10:11">
      <c r="J115" s="17"/>
      <c r="K115" s="17" t="str">
        <f ca="1">IF(AND(Preteky_2027!B115&lt;&gt;"",Preteky_2027!B115+Preteky_2027!E115&gt;NOW(),Preteky_2027!L115&lt;&gt;"Zrušený"),Preteky_2027!B115+Preteky_2027!E115,"")</f>
        <v/>
      </c>
    </row>
    <row r="116" spans="10:11">
      <c r="J116" s="17"/>
      <c r="K116" s="17" t="str">
        <f ca="1">IF(AND(Preteky_2027!B116&lt;&gt;"",Preteky_2027!B116+Preteky_2027!E116&gt;NOW(),Preteky_2027!L116&lt;&gt;"Zrušený"),Preteky_2027!B116+Preteky_2027!E116,"")</f>
        <v/>
      </c>
    </row>
    <row r="117" spans="10:11">
      <c r="J117" s="17"/>
      <c r="K117" s="17" t="str">
        <f ca="1">IF(AND(Preteky_2027!B117&lt;&gt;"",Preteky_2027!B117+Preteky_2027!E117&gt;NOW(),Preteky_2027!L117&lt;&gt;"Zrušený"),Preteky_2027!B117+Preteky_2027!E117,"")</f>
        <v/>
      </c>
    </row>
    <row r="118" spans="10:11">
      <c r="J118" s="17"/>
      <c r="K118" s="17" t="str">
        <f ca="1">IF(AND(Preteky_2027!B118&lt;&gt;"",Preteky_2027!B118+Preteky_2027!E118&gt;NOW(),Preteky_2027!L118&lt;&gt;"Zrušený"),Preteky_2027!B118+Preteky_2027!E118,"")</f>
        <v/>
      </c>
    </row>
    <row r="119" spans="10:11">
      <c r="J119" s="17"/>
      <c r="K119" s="17" t="str">
        <f ca="1">IF(AND(Preteky_2027!B119&lt;&gt;"",Preteky_2027!B119+Preteky_2027!E119&gt;NOW(),Preteky_2027!L119&lt;&gt;"Zrušený"),Preteky_2027!B119+Preteky_2027!E119,"")</f>
        <v/>
      </c>
    </row>
    <row r="120" spans="10:11">
      <c r="J120" s="17"/>
      <c r="K120" s="17" t="str">
        <f ca="1">IF(AND(Preteky_2027!B120&lt;&gt;"",Preteky_2027!B120+Preteky_2027!E120&gt;NOW(),Preteky_2027!L120&lt;&gt;"Zrušený"),Preteky_2027!B120+Preteky_2027!E120,"")</f>
        <v/>
      </c>
    </row>
    <row r="121" spans="10:11">
      <c r="J121" s="17"/>
      <c r="K121" s="17" t="str">
        <f ca="1">IF(AND(Preteky_2027!B121&lt;&gt;"",Preteky_2027!B121+Preteky_2027!E121&gt;NOW(),Preteky_2027!L121&lt;&gt;"Zrušený"),Preteky_2027!B121+Preteky_2027!E121,"")</f>
        <v/>
      </c>
    </row>
    <row r="122" spans="10:11">
      <c r="J122" s="17"/>
      <c r="K122" s="17" t="str">
        <f ca="1">IF(AND(Preteky_2027!B122&lt;&gt;"",Preteky_2027!B122+Preteky_2027!E122&gt;NOW(),Preteky_2027!L122&lt;&gt;"Zrušený"),Preteky_2027!B122+Preteky_2027!E122,"")</f>
        <v/>
      </c>
    </row>
    <row r="123" spans="10:11">
      <c r="J123" s="17"/>
      <c r="K123" s="17" t="str">
        <f ca="1">IF(AND(Preteky_2027!B123&lt;&gt;"",Preteky_2027!B123+Preteky_2027!E123&gt;NOW(),Preteky_2027!L123&lt;&gt;"Zrušený"),Preteky_2027!B123+Preteky_2027!E123,"")</f>
        <v/>
      </c>
    </row>
    <row r="124" spans="10:11">
      <c r="J124" s="17"/>
      <c r="K124" s="17" t="str">
        <f ca="1">IF(AND(Preteky_2027!B124&lt;&gt;"",Preteky_2027!B124+Preteky_2027!E124&gt;NOW(),Preteky_2027!L124&lt;&gt;"Zrušený"),Preteky_2027!B124+Preteky_2027!E124,"")</f>
        <v/>
      </c>
    </row>
    <row r="125" spans="10:11">
      <c r="J125" s="17"/>
      <c r="K125" s="17" t="str">
        <f ca="1">IF(AND(Preteky_2027!B125&lt;&gt;"",Preteky_2027!B125+Preteky_2027!E125&gt;NOW(),Preteky_2027!L125&lt;&gt;"Zrušený"),Preteky_2027!B125+Preteky_2027!E125,"")</f>
        <v/>
      </c>
    </row>
    <row r="126" spans="10:11">
      <c r="J126" s="17"/>
      <c r="K126" s="17" t="str">
        <f ca="1">IF(AND(Preteky_2027!B126&lt;&gt;"",Preteky_2027!B126+Preteky_2027!E126&gt;NOW(),Preteky_2027!L126&lt;&gt;"Zrušený"),Preteky_2027!B126+Preteky_2027!E126,"")</f>
        <v/>
      </c>
    </row>
    <row r="127" spans="10:11">
      <c r="J127" s="17"/>
      <c r="K127" s="17" t="str">
        <f ca="1">IF(AND(Preteky_2027!B127&lt;&gt;"",Preteky_2027!B127+Preteky_2027!E127&gt;NOW(),Preteky_2027!L127&lt;&gt;"Zrušený"),Preteky_2027!B127+Preteky_2027!E127,"")</f>
        <v/>
      </c>
    </row>
    <row r="128" spans="10:11">
      <c r="J128" s="17"/>
      <c r="K128" s="17" t="str">
        <f ca="1">IF(AND(Preteky_2027!B128&lt;&gt;"",Preteky_2027!B128+Preteky_2027!E128&gt;NOW(),Preteky_2027!L128&lt;&gt;"Zrušený"),Preteky_2027!B128+Preteky_2027!E128,"")</f>
        <v/>
      </c>
    </row>
    <row r="129" spans="10:11">
      <c r="J129" s="17"/>
      <c r="K129" s="17" t="str">
        <f ca="1">IF(AND(Preteky_2027!B129&lt;&gt;"",Preteky_2027!B129+Preteky_2027!E129&gt;NOW(),Preteky_2027!L129&lt;&gt;"Zrušený"),Preteky_2027!B129+Preteky_2027!E129,"")</f>
        <v/>
      </c>
    </row>
    <row r="130" spans="10:11">
      <c r="J130" s="17"/>
      <c r="K130" s="17" t="str">
        <f ca="1">IF(AND(Preteky_2027!B130&lt;&gt;"",Preteky_2027!B130+Preteky_2027!E130&gt;NOW(),Preteky_2027!L130&lt;&gt;"Zrušený"),Preteky_2027!B130+Preteky_2027!E130,"")</f>
        <v/>
      </c>
    </row>
    <row r="131" spans="10:11">
      <c r="J131" s="17"/>
      <c r="K131" s="17" t="str">
        <f ca="1">IF(AND(Preteky_2027!B131&lt;&gt;"",Preteky_2027!B131+Preteky_2027!E131&gt;NOW(),Preteky_2027!L131&lt;&gt;"Zrušený"),Preteky_2027!B131+Preteky_2027!E131,"")</f>
        <v/>
      </c>
    </row>
    <row r="132" spans="10:11">
      <c r="J132" s="17"/>
      <c r="K132" s="17" t="str">
        <f ca="1">IF(AND(Preteky_2027!B132&lt;&gt;"",Preteky_2027!B132+Preteky_2027!E132&gt;NOW(),Preteky_2027!L132&lt;&gt;"Zrušený"),Preteky_2027!B132+Preteky_2027!E132,"")</f>
        <v/>
      </c>
    </row>
    <row r="133" spans="10:11">
      <c r="J133" s="17"/>
      <c r="K133" s="17" t="str">
        <f ca="1">IF(AND(Preteky_2027!B133&lt;&gt;"",Preteky_2027!B133+Preteky_2027!E133&gt;NOW(),Preteky_2027!L133&lt;&gt;"Zrušený"),Preteky_2027!B133+Preteky_2027!E133,"")</f>
        <v/>
      </c>
    </row>
    <row r="134" spans="10:11">
      <c r="J134" s="17"/>
      <c r="K134" s="17" t="str">
        <f ca="1">IF(AND(Preteky_2027!B134&lt;&gt;"",Preteky_2027!B134+Preteky_2027!E134&gt;NOW(),Preteky_2027!L134&lt;&gt;"Zrušený"),Preteky_2027!B134+Preteky_2027!E134,"")</f>
        <v/>
      </c>
    </row>
    <row r="135" spans="10:11">
      <c r="J135" s="17"/>
      <c r="K135" s="17" t="str">
        <f ca="1">IF(AND(Preteky_2027!B135&lt;&gt;"",Preteky_2027!B135+Preteky_2027!E135&gt;NOW(),Preteky_2027!L135&lt;&gt;"Zrušený"),Preteky_2027!B135+Preteky_2027!E135,"")</f>
        <v/>
      </c>
    </row>
    <row r="136" spans="10:11">
      <c r="J136" s="17"/>
      <c r="K136" s="17" t="str">
        <f ca="1">IF(AND(Preteky_2027!B136&lt;&gt;"",Preteky_2027!B136+Preteky_2027!E136&gt;NOW(),Preteky_2027!L136&lt;&gt;"Zrušený"),Preteky_2027!B136+Preteky_2027!E136,"")</f>
        <v/>
      </c>
    </row>
    <row r="137" spans="10:11">
      <c r="J137" s="17"/>
      <c r="K137" s="17" t="str">
        <f ca="1">IF(AND(Preteky_2027!B137&lt;&gt;"",Preteky_2027!B137+Preteky_2027!E137&gt;NOW(),Preteky_2027!L137&lt;&gt;"Zrušený"),Preteky_2027!B137+Preteky_2027!E137,"")</f>
        <v/>
      </c>
    </row>
    <row r="138" spans="10:11">
      <c r="J138" s="17"/>
      <c r="K138" s="17" t="str">
        <f ca="1">IF(AND(Preteky_2027!B138&lt;&gt;"",Preteky_2027!B138+Preteky_2027!E138&gt;NOW(),Preteky_2027!L138&lt;&gt;"Zrušený"),Preteky_2027!B138+Preteky_2027!E138,"")</f>
        <v/>
      </c>
    </row>
    <row r="139" spans="10:11">
      <c r="J139" s="17"/>
      <c r="K139" s="17" t="str">
        <f ca="1">IF(AND(Preteky_2027!B139&lt;&gt;"",Preteky_2027!B139+Preteky_2027!E139&gt;NOW(),Preteky_2027!L139&lt;&gt;"Zrušený"),Preteky_2027!B139+Preteky_2027!E139,"")</f>
        <v/>
      </c>
    </row>
    <row r="140" spans="10:11">
      <c r="J140" s="17"/>
      <c r="K140" s="17" t="str">
        <f ca="1">IF(AND(Preteky_2027!B140&lt;&gt;"",Preteky_2027!B140+Preteky_2027!E140&gt;NOW(),Preteky_2027!L140&lt;&gt;"Zrušený"),Preteky_2027!B140+Preteky_2027!E140,"")</f>
        <v/>
      </c>
    </row>
    <row r="141" spans="10:11">
      <c r="J141" s="17"/>
      <c r="K141" s="17" t="str">
        <f ca="1">IF(AND(Preteky_2027!B141&lt;&gt;"",Preteky_2027!B141+Preteky_2027!E141&gt;NOW(),Preteky_2027!L141&lt;&gt;"Zrušený"),Preteky_2027!B141+Preteky_2027!E141,"")</f>
        <v/>
      </c>
    </row>
    <row r="142" spans="10:11">
      <c r="J142" s="17"/>
      <c r="K142" s="17" t="str">
        <f ca="1">IF(AND(Preteky_2027!B142&lt;&gt;"",Preteky_2027!B142+Preteky_2027!E142&gt;NOW(),Preteky_2027!L142&lt;&gt;"Zrušený"),Preteky_2027!B142+Preteky_2027!E142,"")</f>
        <v/>
      </c>
    </row>
    <row r="143" spans="10:11">
      <c r="J143" s="17"/>
      <c r="K143" s="17" t="str">
        <f ca="1">IF(AND(Preteky_2027!B143&lt;&gt;"",Preteky_2027!B143+Preteky_2027!E143&gt;NOW(),Preteky_2027!L143&lt;&gt;"Zrušený"),Preteky_2027!B143+Preteky_2027!E143,"")</f>
        <v/>
      </c>
    </row>
    <row r="144" spans="10:11">
      <c r="J144" s="17"/>
      <c r="K144" s="17" t="str">
        <f ca="1">IF(AND(Preteky_2027!B144&lt;&gt;"",Preteky_2027!B144+Preteky_2027!E144&gt;NOW(),Preteky_2027!L144&lt;&gt;"Zrušený"),Preteky_2027!B144+Preteky_2027!E144,"")</f>
        <v/>
      </c>
    </row>
    <row r="145" spans="10:11">
      <c r="J145" s="17"/>
      <c r="K145" s="17" t="str">
        <f ca="1">IF(AND(Preteky_2027!B145&lt;&gt;"",Preteky_2027!B145+Preteky_2027!E145&gt;NOW(),Preteky_2027!L145&lt;&gt;"Zrušený"),Preteky_2027!B145+Preteky_2027!E145,"")</f>
        <v/>
      </c>
    </row>
    <row r="146" spans="10:11">
      <c r="J146" s="17"/>
      <c r="K146" s="17" t="str">
        <f ca="1">IF(AND(Preteky_2027!B146&lt;&gt;"",Preteky_2027!B146+Preteky_2027!E146&gt;NOW(),Preteky_2027!L146&lt;&gt;"Zrušený"),Preteky_2027!B146+Preteky_2027!E146,"")</f>
        <v/>
      </c>
    </row>
    <row r="147" spans="10:11">
      <c r="J147" s="17"/>
      <c r="K147" s="17" t="str">
        <f ca="1">IF(AND(Preteky_2027!B147&lt;&gt;"",Preteky_2027!B147+Preteky_2027!E147&gt;NOW(),Preteky_2027!L147&lt;&gt;"Zrušený"),Preteky_2027!B147+Preteky_2027!E147,"")</f>
        <v/>
      </c>
    </row>
    <row r="148" spans="10:11">
      <c r="J148" s="17"/>
      <c r="K148" s="17" t="str">
        <f ca="1">IF(AND(Preteky_2027!B148&lt;&gt;"",Preteky_2027!B148+Preteky_2027!E148&gt;NOW(),Preteky_2027!L148&lt;&gt;"Zrušený"),Preteky_2027!B148+Preteky_2027!E148,"")</f>
        <v/>
      </c>
    </row>
    <row r="149" spans="10:11">
      <c r="J149" s="17"/>
      <c r="K149" s="17" t="str">
        <f ca="1">IF(AND(Preteky_2027!B149&lt;&gt;"",Preteky_2027!B149+Preteky_2027!E149&gt;NOW(),Preteky_2027!L149&lt;&gt;"Zrušený"),Preteky_2027!B149+Preteky_2027!E149,"")</f>
        <v/>
      </c>
    </row>
    <row r="150" spans="10:11">
      <c r="J150" s="17"/>
      <c r="K150" s="17" t="str">
        <f ca="1">IF(AND(Preteky_2027!B150&lt;&gt;"",Preteky_2027!B150+Preteky_2027!E150&gt;NOW(),Preteky_2027!L150&lt;&gt;"Zrušený"),Preteky_2027!B150+Preteky_2027!E150,"")</f>
        <v/>
      </c>
    </row>
    <row r="151" spans="10:11">
      <c r="J151" s="17"/>
      <c r="K151" s="17" t="str">
        <f ca="1">IF(AND(Preteky_2027!B151&lt;&gt;"",Preteky_2027!B151+Preteky_2027!E151&gt;NOW(),Preteky_2027!L151&lt;&gt;"Zrušený"),Preteky_2027!B151+Preteky_2027!E151,"")</f>
        <v/>
      </c>
    </row>
    <row r="152" spans="10:11">
      <c r="J152" s="17"/>
      <c r="K152" s="17" t="str">
        <f ca="1">IF(AND(Preteky_2027!B152&lt;&gt;"",Preteky_2027!B152+Preteky_2027!E152&gt;NOW(),Preteky_2027!L152&lt;&gt;"Zrušený"),Preteky_2027!B152+Preteky_2027!E152,"")</f>
        <v/>
      </c>
    </row>
    <row r="153" spans="10:11">
      <c r="J153" s="17"/>
      <c r="K153" s="17" t="str">
        <f ca="1">IF(AND(Preteky_2027!B153&lt;&gt;"",Preteky_2027!B153+Preteky_2027!E153&gt;NOW(),Preteky_2027!L153&lt;&gt;"Zrušený"),Preteky_2027!B153+Preteky_2027!E153,"")</f>
        <v/>
      </c>
    </row>
    <row r="154" spans="10:11">
      <c r="J154" s="17"/>
      <c r="K154" s="17" t="str">
        <f ca="1">IF(AND(Preteky_2027!B154&lt;&gt;"",Preteky_2027!B154+Preteky_2027!E154&gt;NOW(),Preteky_2027!L154&lt;&gt;"Zrušený"),Preteky_2027!B154+Preteky_2027!E154,"")</f>
        <v/>
      </c>
    </row>
    <row r="155" spans="10:11">
      <c r="J155" s="17"/>
      <c r="K155" s="17" t="str">
        <f ca="1">IF(AND(Preteky_2027!B155&lt;&gt;"",Preteky_2027!B155+Preteky_2027!E155&gt;NOW(),Preteky_2027!L155&lt;&gt;"Zrušený"),Preteky_2027!B155+Preteky_2027!E155,"")</f>
        <v/>
      </c>
    </row>
    <row r="156" spans="10:11">
      <c r="J156" s="17"/>
      <c r="K156" s="17" t="str">
        <f ca="1">IF(AND(Preteky_2027!B156&lt;&gt;"",Preteky_2027!B156+Preteky_2027!E156&gt;NOW(),Preteky_2027!L156&lt;&gt;"Zrušený"),Preteky_2027!B156+Preteky_2027!E156,"")</f>
        <v/>
      </c>
    </row>
    <row r="157" spans="10:11">
      <c r="J157" s="17"/>
      <c r="K157" s="17" t="str">
        <f ca="1">IF(AND(Preteky_2027!B157&lt;&gt;"",Preteky_2027!B157+Preteky_2027!E157&gt;NOW(),Preteky_2027!L157&lt;&gt;"Zrušený"),Preteky_2027!B157+Preteky_2027!E157,"")</f>
        <v/>
      </c>
    </row>
    <row r="158" spans="10:11">
      <c r="J158" s="17"/>
      <c r="K158" s="17" t="str">
        <f ca="1">IF(AND(Preteky_2027!B158&lt;&gt;"",Preteky_2027!B158+Preteky_2027!E158&gt;NOW(),Preteky_2027!L158&lt;&gt;"Zrušený"),Preteky_2027!B158+Preteky_2027!E158,"")</f>
        <v/>
      </c>
    </row>
    <row r="159" spans="10:11">
      <c r="J159" s="17"/>
      <c r="K159" s="17" t="str">
        <f ca="1">IF(AND(Preteky_2027!B159&lt;&gt;"",Preteky_2027!B159+Preteky_2027!E159&gt;NOW(),Preteky_2027!L159&lt;&gt;"Zrušený"),Preteky_2027!B159+Preteky_2027!E159,"")</f>
        <v/>
      </c>
    </row>
    <row r="160" spans="10:11">
      <c r="J160" s="17"/>
      <c r="K160" s="17" t="str">
        <f ca="1">IF(AND(Preteky_2027!B160&lt;&gt;"",Preteky_2027!B160+Preteky_2027!E160&gt;NOW(),Preteky_2027!L160&lt;&gt;"Zrušený"),Preteky_2027!B160+Preteky_2027!E160,"")</f>
        <v/>
      </c>
    </row>
    <row r="161" spans="10:11">
      <c r="J161" s="17"/>
      <c r="K161" s="17" t="str">
        <f ca="1">IF(AND(Preteky_2027!B161&lt;&gt;"",Preteky_2027!B161+Preteky_2027!E161&gt;NOW(),Preteky_2027!L161&lt;&gt;"Zrušený"),Preteky_2027!B161+Preteky_2027!E161,"")</f>
        <v/>
      </c>
    </row>
    <row r="162" spans="10:11">
      <c r="J162" s="17"/>
      <c r="K162" s="17" t="str">
        <f ca="1">IF(AND(Preteky_2027!B162&lt;&gt;"",Preteky_2027!B162+Preteky_2027!E162&gt;NOW(),Preteky_2027!L162&lt;&gt;"Zrušený"),Preteky_2027!B162+Preteky_2027!E162,"")</f>
        <v/>
      </c>
    </row>
    <row r="163" spans="10:11">
      <c r="J163" s="17"/>
      <c r="K163" s="17" t="str">
        <f ca="1">IF(AND(Preteky_2027!B163&lt;&gt;"",Preteky_2027!B163+Preteky_2027!E163&gt;NOW(),Preteky_2027!L163&lt;&gt;"Zrušený"),Preteky_2027!B163+Preteky_2027!E163,"")</f>
        <v/>
      </c>
    </row>
    <row r="164" spans="10:11">
      <c r="J164" s="17"/>
      <c r="K164" s="17" t="str">
        <f ca="1">IF(AND(Preteky_2027!B164&lt;&gt;"",Preteky_2027!B164+Preteky_2027!E164&gt;NOW(),Preteky_2027!L164&lt;&gt;"Zrušený"),Preteky_2027!B164+Preteky_2027!E164,"")</f>
        <v/>
      </c>
    </row>
    <row r="165" spans="10:11">
      <c r="J165" s="17"/>
      <c r="K165" s="17" t="str">
        <f ca="1">IF(AND(Preteky_2027!B165&lt;&gt;"",Preteky_2027!B165+Preteky_2027!E165&gt;NOW(),Preteky_2027!L165&lt;&gt;"Zrušený"),Preteky_2027!B165+Preteky_2027!E165,"")</f>
        <v/>
      </c>
    </row>
    <row r="166" spans="10:11">
      <c r="J166" s="17"/>
      <c r="K166" s="17" t="str">
        <f ca="1">IF(AND(Preteky_2027!B166&lt;&gt;"",Preteky_2027!B166+Preteky_2027!E166&gt;NOW(),Preteky_2027!L166&lt;&gt;"Zrušený"),Preteky_2027!B166+Preteky_2027!E166,"")</f>
        <v/>
      </c>
    </row>
    <row r="167" spans="10:11">
      <c r="J167" s="17"/>
      <c r="K167" s="17" t="str">
        <f ca="1">IF(AND(Preteky_2027!B167&lt;&gt;"",Preteky_2027!B167+Preteky_2027!E167&gt;NOW(),Preteky_2027!L167&lt;&gt;"Zrušený"),Preteky_2027!B167+Preteky_2027!E167,"")</f>
        <v/>
      </c>
    </row>
    <row r="168" spans="10:11">
      <c r="J168" s="17"/>
      <c r="K168" s="17" t="str">
        <f ca="1">IF(AND(Preteky_2027!B168&lt;&gt;"",Preteky_2027!B168+Preteky_2027!E168&gt;NOW(),Preteky_2027!L168&lt;&gt;"Zrušený"),Preteky_2027!B168+Preteky_2027!E168,"")</f>
        <v/>
      </c>
    </row>
    <row r="169" spans="10:11">
      <c r="J169" s="17"/>
      <c r="K169" s="17" t="str">
        <f ca="1">IF(AND(Preteky_2027!B169&lt;&gt;"",Preteky_2027!B169+Preteky_2027!E169&gt;NOW(),Preteky_2027!L169&lt;&gt;"Zrušený"),Preteky_2027!B169+Preteky_2027!E169,"")</f>
        <v/>
      </c>
    </row>
    <row r="170" spans="10:11">
      <c r="J170" s="17"/>
      <c r="K170" s="17" t="str">
        <f ca="1">IF(AND(Preteky_2027!B170&lt;&gt;"",Preteky_2027!B170+Preteky_2027!E170&gt;NOW(),Preteky_2027!L170&lt;&gt;"Zrušený"),Preteky_2027!B170+Preteky_2027!E170,"")</f>
        <v/>
      </c>
    </row>
    <row r="171" spans="10:11">
      <c r="J171" s="17"/>
      <c r="K171" s="17" t="str">
        <f ca="1">IF(AND(Preteky_2027!B171&lt;&gt;"",Preteky_2027!B171+Preteky_2027!E171&gt;NOW(),Preteky_2027!L171&lt;&gt;"Zrušený"),Preteky_2027!B171+Preteky_2027!E171,"")</f>
        <v/>
      </c>
    </row>
    <row r="172" spans="10:11">
      <c r="J172" s="17"/>
      <c r="K172" s="17" t="str">
        <f ca="1">IF(AND(Preteky_2027!B172&lt;&gt;"",Preteky_2027!B172+Preteky_2027!E172&gt;NOW(),Preteky_2027!L172&lt;&gt;"Zrušený"),Preteky_2027!B172+Preteky_2027!E172,"")</f>
        <v/>
      </c>
    </row>
    <row r="173" spans="10:11">
      <c r="J173" s="17"/>
      <c r="K173" s="17" t="str">
        <f ca="1">IF(AND(Preteky_2027!B173&lt;&gt;"",Preteky_2027!B173+Preteky_2027!E173&gt;NOW(),Preteky_2027!L173&lt;&gt;"Zrušený"),Preteky_2027!B173+Preteky_2027!E173,"")</f>
        <v/>
      </c>
    </row>
    <row r="174" spans="10:11">
      <c r="J174" s="17"/>
      <c r="K174" s="17" t="str">
        <f ca="1">IF(AND(Preteky_2027!B174&lt;&gt;"",Preteky_2027!B174+Preteky_2027!E174&gt;NOW(),Preteky_2027!L174&lt;&gt;"Zrušený"),Preteky_2027!B174+Preteky_2027!E174,"")</f>
        <v/>
      </c>
    </row>
    <row r="175" spans="10:11">
      <c r="J175" s="17"/>
      <c r="K175" s="17" t="str">
        <f ca="1">IF(AND(Preteky_2027!B175&lt;&gt;"",Preteky_2027!B175+Preteky_2027!E175&gt;NOW(),Preteky_2027!L175&lt;&gt;"Zrušený"),Preteky_2027!B175+Preteky_2027!E175,"")</f>
        <v/>
      </c>
    </row>
    <row r="176" spans="10:11">
      <c r="J176" s="17"/>
      <c r="K176" s="17" t="str">
        <f ca="1">IF(AND(Preteky_2027!B176&lt;&gt;"",Preteky_2027!B176+Preteky_2027!E176&gt;NOW(),Preteky_2027!L176&lt;&gt;"Zrušený"),Preteky_2027!B176+Preteky_2027!E176,"")</f>
        <v/>
      </c>
    </row>
    <row r="177" spans="10:11">
      <c r="J177" s="17"/>
      <c r="K177" s="17" t="str">
        <f ca="1">IF(AND(Preteky_2027!B177&lt;&gt;"",Preteky_2027!B177+Preteky_2027!E177&gt;NOW(),Preteky_2027!L177&lt;&gt;"Zrušený"),Preteky_2027!B177+Preteky_2027!E177,"")</f>
        <v/>
      </c>
    </row>
    <row r="178" spans="10:11">
      <c r="J178" s="17"/>
      <c r="K178" s="17" t="str">
        <f ca="1">IF(AND(Preteky_2027!B178&lt;&gt;"",Preteky_2027!B178+Preteky_2027!E178&gt;NOW(),Preteky_2027!L178&lt;&gt;"Zrušený"),Preteky_2027!B178+Preteky_2027!E178,"")</f>
        <v/>
      </c>
    </row>
    <row r="179" spans="10:11">
      <c r="J179" s="17"/>
      <c r="K179" s="17" t="str">
        <f ca="1">IF(AND(Preteky_2027!B179&lt;&gt;"",Preteky_2027!B179+Preteky_2027!E179&gt;NOW(),Preteky_2027!L179&lt;&gt;"Zrušený"),Preteky_2027!B179+Preteky_2027!E179,"")</f>
        <v/>
      </c>
    </row>
    <row r="180" spans="10:11">
      <c r="J180" s="17"/>
      <c r="K180" s="17" t="str">
        <f ca="1">IF(AND(Preteky_2027!B180&lt;&gt;"",Preteky_2027!B180+Preteky_2027!E180&gt;NOW(),Preteky_2027!L180&lt;&gt;"Zrušený"),Preteky_2027!B180+Preteky_2027!E180,"")</f>
        <v/>
      </c>
    </row>
    <row r="181" spans="10:11">
      <c r="J181" s="17"/>
      <c r="K181" s="17" t="str">
        <f ca="1">IF(AND(Preteky_2027!B181&lt;&gt;"",Preteky_2027!B181+Preteky_2027!E181&gt;NOW(),Preteky_2027!L181&lt;&gt;"Zrušený"),Preteky_2027!B181+Preteky_2027!E181,"")</f>
        <v/>
      </c>
    </row>
    <row r="182" spans="10:11">
      <c r="J182" s="17"/>
      <c r="K182" s="17" t="str">
        <f ca="1">IF(AND(Preteky_2027!B182&lt;&gt;"",Preteky_2027!B182+Preteky_2027!E182&gt;NOW(),Preteky_2027!L182&lt;&gt;"Zrušený"),Preteky_2027!B182+Preteky_2027!E182,"")</f>
        <v/>
      </c>
    </row>
    <row r="183" spans="10:11">
      <c r="J183" s="17"/>
      <c r="K183" s="17" t="str">
        <f ca="1">IF(AND(Preteky_2027!B183&lt;&gt;"",Preteky_2027!B183+Preteky_2027!E183&gt;NOW(),Preteky_2027!L183&lt;&gt;"Zrušený"),Preteky_2027!B183+Preteky_2027!E183,"")</f>
        <v/>
      </c>
    </row>
    <row r="184" spans="10:11">
      <c r="J184" s="17"/>
      <c r="K184" s="17" t="str">
        <f ca="1">IF(AND(Preteky_2027!B184&lt;&gt;"",Preteky_2027!B184+Preteky_2027!E184&gt;NOW(),Preteky_2027!L184&lt;&gt;"Zrušený"),Preteky_2027!B184+Preteky_2027!E184,"")</f>
        <v/>
      </c>
    </row>
    <row r="185" spans="10:11">
      <c r="J185" s="17"/>
      <c r="K185" s="17" t="str">
        <f ca="1">IF(AND(Preteky_2027!B185&lt;&gt;"",Preteky_2027!B185+Preteky_2027!E185&gt;NOW(),Preteky_2027!L185&lt;&gt;"Zrušený"),Preteky_2027!B185+Preteky_2027!E185,"")</f>
        <v/>
      </c>
    </row>
    <row r="186" spans="10:11">
      <c r="J186" s="17"/>
      <c r="K186" s="17" t="str">
        <f ca="1">IF(AND(Preteky_2027!B186&lt;&gt;"",Preteky_2027!B186+Preteky_2027!E186&gt;NOW(),Preteky_2027!L186&lt;&gt;"Zrušený"),Preteky_2027!B186+Preteky_2027!E186,"")</f>
        <v/>
      </c>
    </row>
    <row r="187" spans="10:11">
      <c r="J187" s="17"/>
      <c r="K187" s="17" t="str">
        <f ca="1">IF(AND(Preteky_2027!B187&lt;&gt;"",Preteky_2027!B187+Preteky_2027!E187&gt;NOW(),Preteky_2027!L187&lt;&gt;"Zrušený"),Preteky_2027!B187+Preteky_2027!E187,"")</f>
        <v/>
      </c>
    </row>
    <row r="188" spans="10:11">
      <c r="J188" s="17"/>
      <c r="K188" s="17" t="str">
        <f ca="1">IF(AND(Preteky_2027!B188&lt;&gt;"",Preteky_2027!B188+Preteky_2027!E188&gt;NOW(),Preteky_2027!L188&lt;&gt;"Zrušený"),Preteky_2027!B188+Preteky_2027!E188,"")</f>
        <v/>
      </c>
    </row>
    <row r="189" spans="10:11">
      <c r="J189" s="17"/>
      <c r="K189" s="17" t="str">
        <f ca="1">IF(AND(Preteky_2027!B189&lt;&gt;"",Preteky_2027!B189+Preteky_2027!E189&gt;NOW(),Preteky_2027!L189&lt;&gt;"Zrušený"),Preteky_2027!B189+Preteky_2027!E189,"")</f>
        <v/>
      </c>
    </row>
    <row r="190" spans="10:11">
      <c r="J190" s="17"/>
      <c r="K190" s="17" t="str">
        <f ca="1">IF(AND(Preteky_2027!B190&lt;&gt;"",Preteky_2027!B190+Preteky_2027!E190&gt;NOW(),Preteky_2027!L190&lt;&gt;"Zrušený"),Preteky_2027!B190+Preteky_2027!E190,"")</f>
        <v/>
      </c>
    </row>
    <row r="191" spans="10:11">
      <c r="J191" s="17"/>
      <c r="K191" s="17" t="str">
        <f ca="1">IF(AND(Preteky_2027!B191&lt;&gt;"",Preteky_2027!B191+Preteky_2027!E191&gt;NOW(),Preteky_2027!L191&lt;&gt;"Zrušený"),Preteky_2027!B191+Preteky_2027!E191,"")</f>
        <v/>
      </c>
    </row>
    <row r="192" spans="10:11">
      <c r="J192" s="17"/>
      <c r="K192" s="17" t="str">
        <f ca="1">IF(AND(Preteky_2027!B192&lt;&gt;"",Preteky_2027!B192+Preteky_2027!E192&gt;NOW(),Preteky_2027!L192&lt;&gt;"Zrušený"),Preteky_2027!B192+Preteky_2027!E192,"")</f>
        <v/>
      </c>
    </row>
    <row r="193" spans="10:11">
      <c r="J193" s="17"/>
      <c r="K193" s="17" t="str">
        <f ca="1">IF(AND(Preteky_2027!B193&lt;&gt;"",Preteky_2027!B193+Preteky_2027!E193&gt;NOW(),Preteky_2027!L193&lt;&gt;"Zrušený"),Preteky_2027!B193+Preteky_2027!E193,"")</f>
        <v/>
      </c>
    </row>
    <row r="194" spans="10:11">
      <c r="J194" s="17"/>
      <c r="K194" s="17" t="str">
        <f ca="1">IF(AND(Preteky_2027!B194&lt;&gt;"",Preteky_2027!B194+Preteky_2027!E194&gt;NOW(),Preteky_2027!L194&lt;&gt;"Zrušený"),Preteky_2027!B194+Preteky_2027!E194,"")</f>
        <v/>
      </c>
    </row>
    <row r="195" spans="10:11">
      <c r="J195" s="17"/>
      <c r="K195" s="17" t="str">
        <f ca="1">IF(AND(Preteky_2027!B195&lt;&gt;"",Preteky_2027!B195+Preteky_2027!E195&gt;NOW(),Preteky_2027!L195&lt;&gt;"Zrušený"),Preteky_2027!B195+Preteky_2027!E195,"")</f>
        <v/>
      </c>
    </row>
    <row r="196" spans="10:11">
      <c r="J196" s="17"/>
      <c r="K196" s="17" t="str">
        <f ca="1">IF(AND(Preteky_2027!B196&lt;&gt;"",Preteky_2027!B196+Preteky_2027!E196&gt;NOW(),Preteky_2027!L196&lt;&gt;"Zrušený"),Preteky_2027!B196+Preteky_2027!E196,"")</f>
        <v/>
      </c>
    </row>
    <row r="197" spans="10:11">
      <c r="J197" s="17"/>
      <c r="K197" s="17" t="str">
        <f ca="1">IF(AND(Preteky_2027!B197&lt;&gt;"",Preteky_2027!B197+Preteky_2027!E197&gt;NOW(),Preteky_2027!L197&lt;&gt;"Zrušený"),Preteky_2027!B197+Preteky_2027!E197,"")</f>
        <v/>
      </c>
    </row>
    <row r="198" spans="10:11">
      <c r="J198" s="17"/>
      <c r="K198" s="17" t="str">
        <f ca="1">IF(AND(Preteky_2027!B198&lt;&gt;"",Preteky_2027!B198+Preteky_2027!E198&gt;NOW(),Preteky_2027!L198&lt;&gt;"Zrušený"),Preteky_2027!B198+Preteky_2027!E198,"")</f>
        <v/>
      </c>
    </row>
    <row r="199" spans="10:11">
      <c r="J199" s="17"/>
      <c r="K199" s="17" t="str">
        <f ca="1">IF(AND(Preteky_2027!B199&lt;&gt;"",Preteky_2027!B199+Preteky_2027!E199&gt;NOW(),Preteky_2027!L199&lt;&gt;"Zrušený"),Preteky_2027!B199+Preteky_2027!E199,"")</f>
        <v/>
      </c>
    </row>
    <row r="200" spans="10:11">
      <c r="J200" s="17"/>
      <c r="K200" s="17" t="str">
        <f ca="1">IF(AND(Preteky_2027!B200&lt;&gt;"",Preteky_2027!B200+Preteky_2027!E200&gt;NOW(),Preteky_2027!L200&lt;&gt;"Zrušený"),Preteky_2027!B200+Preteky_2027!E200,"")</f>
        <v/>
      </c>
    </row>
    <row r="201" spans="10:11">
      <c r="J201" s="17"/>
      <c r="K201" s="17"/>
    </row>
    <row r="202" spans="10:11">
      <c r="J202" s="17"/>
      <c r="K202" s="17"/>
    </row>
    <row r="203" spans="10:11">
      <c r="J203" s="17"/>
      <c r="K203" s="17"/>
    </row>
    <row r="204" spans="10:11">
      <c r="J204" s="17"/>
      <c r="K204" s="17"/>
    </row>
    <row r="205" spans="10:11">
      <c r="J205" s="17"/>
      <c r="K205" s="17"/>
    </row>
  </sheetData>
  <mergeCells count="21">
    <mergeCell ref="A27:H27"/>
    <mergeCell ref="A20:H20"/>
    <mergeCell ref="A22:C22"/>
    <mergeCell ref="A23:C24"/>
    <mergeCell ref="E22:G22"/>
    <mergeCell ref="E23:G24"/>
    <mergeCell ref="A1:H2"/>
    <mergeCell ref="A4:C4"/>
    <mergeCell ref="A5:C5"/>
    <mergeCell ref="A6:C6"/>
    <mergeCell ref="E4:H4"/>
    <mergeCell ref="E5:H6"/>
    <mergeCell ref="G8:H8"/>
    <mergeCell ref="G9:H10"/>
    <mergeCell ref="A13:H13"/>
    <mergeCell ref="A8:B8"/>
    <mergeCell ref="A9:B10"/>
    <mergeCell ref="C8:D8"/>
    <mergeCell ref="C9:D10"/>
    <mergeCell ref="E8:F8"/>
    <mergeCell ref="E9:F10"/>
  </mergeCells>
  <conditionalFormatting sqref="G29:G40">
    <cfRule type="expression" dxfId="5" priority="1">
      <formula>AND(G29&lt;&gt;"",G29&lt;=14)</formula>
    </cfRule>
    <cfRule type="expression" dxfId="4" priority="2">
      <formula>AND(G29&gt;14,G29&lt;=28)</formula>
    </cfRule>
    <cfRule type="expression" dxfId="3" priority="3">
      <formula>G29&gt;28</formula>
    </cfRule>
  </conditionalFormatting>
  <conditionalFormatting sqref="E29:E40">
    <cfRule type="expression" dxfId="2" priority="4">
      <formula>E29="A"</formula>
    </cfRule>
    <cfRule type="expression" dxfId="1" priority="5">
      <formula>E29="B"</formula>
    </cfRule>
    <cfRule type="expression" dxfId="0" priority="6">
      <formula>E29="C"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Preteky_2027</vt:lpstr>
      <vt:lpstr>Zoznamy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Rodinka</cp:lastModifiedBy>
  <dcterms:modified xsi:type="dcterms:W3CDTF">2026-10-01T12:19:46Z</dcterms:modified>
</cp:coreProperties>
</file>